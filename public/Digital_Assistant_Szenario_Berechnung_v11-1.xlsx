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romh/Downloads/"/>
    </mc:Choice>
  </mc:AlternateContent>
  <xr:revisionPtr revIDLastSave="0" documentId="8_{B1D66729-FBA9-3D4E-A6A4-5FCFB3513F6C}" xr6:coauthVersionLast="47" xr6:coauthVersionMax="47" xr10:uidLastSave="{00000000-0000-0000-0000-000000000000}"/>
  <bookViews>
    <workbookView xWindow="0" yWindow="660" windowWidth="30240" windowHeight="18980" tabRatio="500" xr2:uid="{00000000-000D-0000-FFFF-FFFF00000000}"/>
  </bookViews>
  <sheets>
    <sheet name="00_README" sheetId="1" r:id="rId1"/>
    <sheet name="01_EXEC_SUMMARY" sheetId="2" r:id="rId2"/>
    <sheet name="02_INPUTS" sheetId="3" r:id="rId3"/>
    <sheet name="03_SZENARIOS" sheetId="4" r:id="rId4"/>
    <sheet name="04_PoC_MVP_Phasen" sheetId="10" r:id="rId5"/>
    <sheet name="05_KOSTEN_MODELL" sheetId="5" r:id="rId6"/>
    <sheet name="06_NUTZEN_MODELL" sheetId="6" r:id="rId7"/>
    <sheet name="07_VALUE_CASE" sheetId="7" r:id="rId8"/>
    <sheet name="08_QUELLEN" sheetId="8" r:id="rId9"/>
    <sheet name="09_INPUT_PARAMETER_BC_SAV"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2" i="2" l="1"/>
  <c r="E12" i="2"/>
  <c r="F12" i="2"/>
  <c r="G12" i="2"/>
  <c r="C12" i="2"/>
  <c r="D67" i="5"/>
  <c r="C7" i="7"/>
  <c r="C9" i="7" s="1"/>
  <c r="C32" i="7" s="1"/>
  <c r="H59" i="5"/>
  <c r="C59" i="5"/>
  <c r="C47" i="5"/>
  <c r="D52" i="5"/>
  <c r="D51" i="5"/>
  <c r="D34" i="10"/>
  <c r="L54" i="10"/>
  <c r="K54" i="10"/>
  <c r="C54" i="10"/>
  <c r="E34" i="4"/>
  <c r="F34" i="4"/>
  <c r="G34" i="4"/>
  <c r="C34" i="4"/>
  <c r="D34" i="4"/>
  <c r="C9" i="5"/>
  <c r="D9" i="5"/>
  <c r="E9" i="5"/>
  <c r="F9" i="5"/>
  <c r="G9" i="5"/>
  <c r="F22" i="4"/>
  <c r="F48" i="5" s="1"/>
  <c r="G22" i="4"/>
  <c r="G48" i="5" s="1"/>
  <c r="C35" i="10"/>
  <c r="K35" i="10" s="1"/>
  <c r="V21" i="10"/>
  <c r="D5" i="7"/>
  <c r="E5" i="7"/>
  <c r="F5" i="7"/>
  <c r="G5" i="7"/>
  <c r="G6" i="7"/>
  <c r="E41" i="5"/>
  <c r="D41" i="5"/>
  <c r="C41" i="5"/>
  <c r="E34" i="10"/>
  <c r="F34" i="10"/>
  <c r="F58" i="10" s="1"/>
  <c r="G34" i="10"/>
  <c r="G58" i="10" s="1"/>
  <c r="H34" i="10"/>
  <c r="H58" i="10" s="1"/>
  <c r="I34" i="10"/>
  <c r="I58" i="10" s="1"/>
  <c r="J34" i="10"/>
  <c r="J58" i="10" s="1"/>
  <c r="L44" i="10"/>
  <c r="C44" i="10"/>
  <c r="K44" i="10" s="1"/>
  <c r="L45" i="10"/>
  <c r="C45" i="10"/>
  <c r="K45" i="10" s="1"/>
  <c r="C33" i="10"/>
  <c r="K33" i="10" s="1"/>
  <c r="L33" i="10"/>
  <c r="D12" i="10"/>
  <c r="L12" i="10" s="1"/>
  <c r="C54" i="5"/>
  <c r="G54" i="5"/>
  <c r="F54" i="5"/>
  <c r="E54" i="5"/>
  <c r="D54" i="5"/>
  <c r="D53" i="5"/>
  <c r="E53" i="5"/>
  <c r="F53" i="5"/>
  <c r="G53" i="5"/>
  <c r="C53" i="5"/>
  <c r="D48" i="5"/>
  <c r="C49" i="5"/>
  <c r="E20" i="10"/>
  <c r="F20" i="10"/>
  <c r="G20" i="10"/>
  <c r="H20" i="10"/>
  <c r="I20" i="10"/>
  <c r="J20" i="10"/>
  <c r="D20" i="10"/>
  <c r="D8" i="10"/>
  <c r="K8" i="10" s="1"/>
  <c r="C32" i="10"/>
  <c r="K32" i="10" s="1"/>
  <c r="C36" i="10"/>
  <c r="K36" i="10" s="1"/>
  <c r="C37" i="10"/>
  <c r="K37" i="10" s="1"/>
  <c r="C38" i="10"/>
  <c r="K38" i="10" s="1"/>
  <c r="C39" i="10"/>
  <c r="K39" i="10" s="1"/>
  <c r="C40" i="10"/>
  <c r="K40" i="10" s="1"/>
  <c r="C41" i="10"/>
  <c r="K41" i="10" s="1"/>
  <c r="C42" i="10"/>
  <c r="K42" i="10" s="1"/>
  <c r="C43" i="10"/>
  <c r="K43" i="10" s="1"/>
  <c r="C46" i="10"/>
  <c r="K46" i="10" s="1"/>
  <c r="C47" i="10"/>
  <c r="K47" i="10" s="1"/>
  <c r="C48" i="10"/>
  <c r="K48" i="10" s="1"/>
  <c r="C49" i="10"/>
  <c r="K49" i="10" s="1"/>
  <c r="C50" i="10"/>
  <c r="K50" i="10" s="1"/>
  <c r="C51" i="10"/>
  <c r="K51" i="10" s="1"/>
  <c r="C52" i="10"/>
  <c r="K52" i="10" s="1"/>
  <c r="C53" i="10"/>
  <c r="K53" i="10" s="1"/>
  <c r="C55" i="10"/>
  <c r="K55" i="10" s="1"/>
  <c r="C56" i="10"/>
  <c r="K56" i="10" s="1"/>
  <c r="C31" i="10"/>
  <c r="K31" i="10" s="1"/>
  <c r="L32" i="10"/>
  <c r="L36" i="10"/>
  <c r="L37" i="10"/>
  <c r="L38" i="10"/>
  <c r="L39" i="10"/>
  <c r="L40" i="10"/>
  <c r="L41" i="10"/>
  <c r="L43" i="10"/>
  <c r="L46" i="10"/>
  <c r="L47" i="10"/>
  <c r="L48" i="10"/>
  <c r="L49" i="10"/>
  <c r="L50" i="10"/>
  <c r="L52" i="10"/>
  <c r="L53" i="10"/>
  <c r="L55" i="10"/>
  <c r="L56" i="10"/>
  <c r="L31" i="10"/>
  <c r="E58" i="10"/>
  <c r="F41" i="5" s="1"/>
  <c r="E8" i="10"/>
  <c r="F8" i="10"/>
  <c r="G8" i="10"/>
  <c r="H8" i="10"/>
  <c r="I8" i="10"/>
  <c r="J8" i="10"/>
  <c r="E9" i="10"/>
  <c r="F9" i="10"/>
  <c r="G9" i="10"/>
  <c r="H9" i="10"/>
  <c r="I9" i="10"/>
  <c r="J9" i="10"/>
  <c r="E10" i="10"/>
  <c r="F10" i="10"/>
  <c r="G10" i="10"/>
  <c r="L10" i="10" s="1"/>
  <c r="H10" i="10"/>
  <c r="I10" i="10"/>
  <c r="J10" i="10"/>
  <c r="E11" i="10"/>
  <c r="F11" i="10"/>
  <c r="G11" i="10"/>
  <c r="H11" i="10"/>
  <c r="I11" i="10"/>
  <c r="J11" i="10"/>
  <c r="E12" i="10"/>
  <c r="F12" i="10"/>
  <c r="G12" i="10"/>
  <c r="H12" i="10"/>
  <c r="I12" i="10"/>
  <c r="J12" i="10"/>
  <c r="E17" i="10"/>
  <c r="F17" i="10"/>
  <c r="G17" i="10"/>
  <c r="H17" i="10"/>
  <c r="I17" i="10"/>
  <c r="J17" i="10"/>
  <c r="E19" i="10"/>
  <c r="F19" i="10"/>
  <c r="G19" i="10"/>
  <c r="H19" i="10"/>
  <c r="I19" i="10"/>
  <c r="J19" i="10"/>
  <c r="D9" i="10"/>
  <c r="D10" i="10"/>
  <c r="D11" i="10"/>
  <c r="D17" i="10"/>
  <c r="D19" i="10"/>
  <c r="D22" i="4"/>
  <c r="E22" i="4"/>
  <c r="E48" i="5" s="1"/>
  <c r="C22" i="4"/>
  <c r="C48" i="5" s="1"/>
  <c r="C36" i="6"/>
  <c r="D36" i="6" s="1"/>
  <c r="D45" i="6"/>
  <c r="C34" i="6"/>
  <c r="D34" i="6" s="1"/>
  <c r="AF29" i="6"/>
  <c r="AE22" i="6"/>
  <c r="AF22" i="6"/>
  <c r="AE23" i="6"/>
  <c r="AF23" i="6"/>
  <c r="AE24" i="6"/>
  <c r="AF24" i="6"/>
  <c r="AE25" i="6"/>
  <c r="AF25" i="6"/>
  <c r="AE26" i="6"/>
  <c r="AF26" i="6"/>
  <c r="AE27" i="6"/>
  <c r="AF27" i="6"/>
  <c r="AE28" i="6"/>
  <c r="AF28" i="6"/>
  <c r="AF21" i="6"/>
  <c r="AE21" i="6"/>
  <c r="AE29" i="6" s="1"/>
  <c r="AG29" i="6"/>
  <c r="AG22" i="6"/>
  <c r="AG23" i="6"/>
  <c r="AG24" i="6"/>
  <c r="AG25" i="6"/>
  <c r="AG26" i="6"/>
  <c r="AG27" i="6"/>
  <c r="AG28" i="6"/>
  <c r="AG21" i="6"/>
  <c r="Y29" i="6"/>
  <c r="Z29" i="6"/>
  <c r="X29" i="6"/>
  <c r="W29" i="6"/>
  <c r="U29" i="6"/>
  <c r="V29" i="6"/>
  <c r="T29" i="6"/>
  <c r="S29" i="6"/>
  <c r="O29" i="6"/>
  <c r="P29" i="6"/>
  <c r="Q29" i="6"/>
  <c r="R29" i="6"/>
  <c r="N29" i="6"/>
  <c r="K29" i="6"/>
  <c r="L29" i="6"/>
  <c r="M29" i="6"/>
  <c r="J29" i="6"/>
  <c r="I29" i="6"/>
  <c r="H29" i="6"/>
  <c r="G29" i="6"/>
  <c r="Z28" i="6"/>
  <c r="W28" i="6"/>
  <c r="P28" i="6"/>
  <c r="M28" i="6"/>
  <c r="L28" i="6" s="1"/>
  <c r="J28" i="6"/>
  <c r="K28" i="6" s="1"/>
  <c r="Z27" i="6"/>
  <c r="W27" i="6"/>
  <c r="P27" i="6"/>
  <c r="M27" i="6"/>
  <c r="L27" i="6"/>
  <c r="J27" i="6"/>
  <c r="K27" i="6" s="1"/>
  <c r="Z26" i="6"/>
  <c r="W26" i="6"/>
  <c r="P26" i="6"/>
  <c r="M26" i="6"/>
  <c r="L26" i="6" s="1"/>
  <c r="J26" i="6"/>
  <c r="K26" i="6" s="1"/>
  <c r="AC25" i="6"/>
  <c r="AB25" i="6"/>
  <c r="AD25" i="6" s="1"/>
  <c r="Z25" i="6"/>
  <c r="W25" i="6"/>
  <c r="P25" i="6"/>
  <c r="M25" i="6"/>
  <c r="L25" i="6"/>
  <c r="T25" i="6" s="1"/>
  <c r="J25" i="6"/>
  <c r="K25" i="6" s="1"/>
  <c r="S25" i="6" s="1"/>
  <c r="Z24" i="6"/>
  <c r="W24" i="6"/>
  <c r="P24" i="6"/>
  <c r="M24" i="6"/>
  <c r="L24" i="6" s="1"/>
  <c r="T24" i="6" s="1"/>
  <c r="J24" i="6"/>
  <c r="K24" i="6" s="1"/>
  <c r="Z23" i="6"/>
  <c r="W23" i="6"/>
  <c r="P23" i="6"/>
  <c r="M23" i="6"/>
  <c r="L23" i="6" s="1"/>
  <c r="T23" i="6" s="1"/>
  <c r="J23" i="6"/>
  <c r="K23" i="6" s="1"/>
  <c r="S23" i="6" s="1"/>
  <c r="Z22" i="6"/>
  <c r="W22" i="6"/>
  <c r="P22" i="6"/>
  <c r="M22" i="6"/>
  <c r="L22" i="6"/>
  <c r="T22" i="6" s="1"/>
  <c r="J22" i="6"/>
  <c r="K22" i="6" s="1"/>
  <c r="S22" i="6" s="1"/>
  <c r="Z21" i="6"/>
  <c r="W21" i="6"/>
  <c r="P21" i="6"/>
  <c r="M21" i="6"/>
  <c r="L21" i="6" s="1"/>
  <c r="J21" i="6"/>
  <c r="K21" i="6" s="1"/>
  <c r="S21" i="6" s="1"/>
  <c r="C109" i="9" a="1"/>
  <c r="C109" i="9" s="1"/>
  <c r="C60" i="9" a="1"/>
  <c r="C60" i="9"/>
  <c r="F6" i="7"/>
  <c r="E6" i="7"/>
  <c r="D6" i="7"/>
  <c r="C6" i="7"/>
  <c r="C5" i="7"/>
  <c r="G52" i="5"/>
  <c r="F52" i="5"/>
  <c r="E52" i="5"/>
  <c r="C52" i="5"/>
  <c r="G51" i="5"/>
  <c r="F51" i="5"/>
  <c r="E51" i="5"/>
  <c r="C51" i="5"/>
  <c r="G50" i="5"/>
  <c r="F50" i="5"/>
  <c r="E50" i="5"/>
  <c r="D50" i="5"/>
  <c r="C50" i="5"/>
  <c r="G49" i="5"/>
  <c r="F49" i="5"/>
  <c r="E49" i="5"/>
  <c r="D49" i="5"/>
  <c r="G7" i="5"/>
  <c r="F7" i="5"/>
  <c r="E7" i="5"/>
  <c r="D7" i="5"/>
  <c r="C7" i="5"/>
  <c r="D37" i="3"/>
  <c r="D10" i="3"/>
  <c r="G37" i="2"/>
  <c r="F37" i="2"/>
  <c r="E37" i="2"/>
  <c r="D37" i="2"/>
  <c r="C37" i="2"/>
  <c r="G36" i="2"/>
  <c r="F36" i="2"/>
  <c r="E36" i="2"/>
  <c r="D36" i="2"/>
  <c r="C36" i="2"/>
  <c r="G35" i="2"/>
  <c r="F35" i="2"/>
  <c r="E35" i="2"/>
  <c r="D35" i="2"/>
  <c r="C35" i="2"/>
  <c r="G34" i="2"/>
  <c r="F34" i="2"/>
  <c r="E34" i="2"/>
  <c r="D34" i="2"/>
  <c r="C34" i="2"/>
  <c r="G33" i="2"/>
  <c r="F33" i="2"/>
  <c r="E33" i="2"/>
  <c r="D33" i="2"/>
  <c r="C33" i="2"/>
  <c r="G32" i="2"/>
  <c r="F32" i="2"/>
  <c r="E32" i="2"/>
  <c r="D32" i="2"/>
  <c r="C32" i="2"/>
  <c r="G31" i="2"/>
  <c r="F31" i="2"/>
  <c r="E31" i="2"/>
  <c r="D31" i="2"/>
  <c r="C31" i="2"/>
  <c r="C38" i="6"/>
  <c r="D38" i="6" s="1"/>
  <c r="C37" i="6"/>
  <c r="D37" i="6" s="1"/>
  <c r="C35" i="6"/>
  <c r="D35" i="6" s="1"/>
  <c r="F29" i="6"/>
  <c r="E29" i="6"/>
  <c r="F12" i="6"/>
  <c r="C10" i="6"/>
  <c r="C9" i="6"/>
  <c r="H8" i="6"/>
  <c r="E8" i="6"/>
  <c r="C8" i="6"/>
  <c r="D8" i="6" s="1"/>
  <c r="F8" i="6" s="1"/>
  <c r="C7" i="6"/>
  <c r="C6" i="6"/>
  <c r="C34" i="10" l="1"/>
  <c r="L35" i="10"/>
  <c r="G37" i="5" s="1"/>
  <c r="G41" i="5"/>
  <c r="L51" i="10"/>
  <c r="C39" i="5" s="1"/>
  <c r="D40" i="5"/>
  <c r="D43" i="5" s="1"/>
  <c r="C40" i="5"/>
  <c r="C43" i="5" s="1"/>
  <c r="L42" i="10"/>
  <c r="D38" i="5" s="1"/>
  <c r="D39" i="6"/>
  <c r="D40" i="6" s="1"/>
  <c r="F37" i="5"/>
  <c r="E37" i="5"/>
  <c r="D37" i="5"/>
  <c r="D58" i="10"/>
  <c r="G40" i="5" s="1"/>
  <c r="G43" i="5" s="1"/>
  <c r="L34" i="10"/>
  <c r="K34" i="10"/>
  <c r="K58" i="10" s="1"/>
  <c r="L20" i="10"/>
  <c r="K20" i="10"/>
  <c r="G22" i="10"/>
  <c r="I22" i="10"/>
  <c r="C20" i="10"/>
  <c r="H22" i="10"/>
  <c r="F22" i="10"/>
  <c r="E22" i="10"/>
  <c r="J22" i="10"/>
  <c r="K9" i="10"/>
  <c r="L9" i="10"/>
  <c r="C9" i="10"/>
  <c r="K10" i="10"/>
  <c r="C10" i="10"/>
  <c r="K11" i="10"/>
  <c r="L11" i="10"/>
  <c r="C11" i="10"/>
  <c r="C12" i="10"/>
  <c r="K17" i="10"/>
  <c r="L17" i="10"/>
  <c r="C17" i="10"/>
  <c r="C8" i="10"/>
  <c r="L8" i="10"/>
  <c r="K19" i="10"/>
  <c r="L19" i="10"/>
  <c r="C19" i="10"/>
  <c r="D22" i="10"/>
  <c r="K12" i="10"/>
  <c r="S24" i="6"/>
  <c r="T28" i="6"/>
  <c r="T21" i="6"/>
  <c r="T27" i="6"/>
  <c r="S28" i="6"/>
  <c r="S27" i="6"/>
  <c r="T26" i="6"/>
  <c r="S26" i="6"/>
  <c r="F6" i="5"/>
  <c r="F8" i="5" s="1"/>
  <c r="C6" i="5"/>
  <c r="C8" i="5" s="1"/>
  <c r="C10" i="5" s="1"/>
  <c r="D6" i="5"/>
  <c r="D8" i="5" s="1"/>
  <c r="E6" i="5"/>
  <c r="E8" i="5" s="1"/>
  <c r="G6" i="5"/>
  <c r="G8" i="5" s="1"/>
  <c r="D10" i="6"/>
  <c r="F10" i="6" s="1"/>
  <c r="G10" i="6"/>
  <c r="H10" i="6" s="1"/>
  <c r="D9" i="6"/>
  <c r="F9" i="6" s="1"/>
  <c r="G9" i="6"/>
  <c r="H9" i="6" s="1"/>
  <c r="G7" i="6"/>
  <c r="H7" i="6" s="1"/>
  <c r="D7" i="6"/>
  <c r="F7" i="6" s="1"/>
  <c r="G6" i="6"/>
  <c r="D6" i="6"/>
  <c r="F6" i="6" s="1"/>
  <c r="C37" i="5" l="1"/>
  <c r="D39" i="5"/>
  <c r="G39" i="5"/>
  <c r="F39" i="5"/>
  <c r="E39" i="5"/>
  <c r="E40" i="5"/>
  <c r="E43" i="5" s="1"/>
  <c r="F40" i="5"/>
  <c r="F43" i="5" s="1"/>
  <c r="F38" i="5"/>
  <c r="D30" i="5"/>
  <c r="D33" i="5" s="1"/>
  <c r="E30" i="5"/>
  <c r="E33" i="5" s="1"/>
  <c r="C30" i="5"/>
  <c r="C33" i="5" s="1"/>
  <c r="G30" i="5"/>
  <c r="G33" i="5" s="1"/>
  <c r="F30" i="5"/>
  <c r="F33" i="5" s="1"/>
  <c r="E38" i="5"/>
  <c r="C38" i="5"/>
  <c r="G38" i="5"/>
  <c r="L22" i="10"/>
  <c r="F11" i="6"/>
  <c r="D8" i="7"/>
  <c r="F8" i="7"/>
  <c r="C8" i="7"/>
  <c r="E8" i="7"/>
  <c r="G8" i="7"/>
  <c r="L58" i="10"/>
  <c r="L30" i="10"/>
  <c r="F11" i="5"/>
  <c r="F12" i="5"/>
  <c r="F10" i="5"/>
  <c r="F15" i="5"/>
  <c r="F16" i="5" s="1"/>
  <c r="G11" i="5"/>
  <c r="G13" i="5"/>
  <c r="G14" i="5" s="1"/>
  <c r="G10" i="5"/>
  <c r="G15" i="5"/>
  <c r="G16" i="5" s="1"/>
  <c r="G12" i="5"/>
  <c r="C28" i="5"/>
  <c r="F28" i="5"/>
  <c r="D28" i="5"/>
  <c r="G28" i="5"/>
  <c r="E28" i="5"/>
  <c r="G31" i="5"/>
  <c r="G11" i="2" s="1"/>
  <c r="C31" i="5"/>
  <c r="C11" i="2" s="1"/>
  <c r="F31" i="5"/>
  <c r="F11" i="2" s="1"/>
  <c r="D31" i="5"/>
  <c r="D11" i="2" s="1"/>
  <c r="E31" i="5"/>
  <c r="E11" i="2" s="1"/>
  <c r="F22" i="5"/>
  <c r="C22" i="5"/>
  <c r="E22" i="5"/>
  <c r="G22" i="5"/>
  <c r="D22" i="5"/>
  <c r="D23" i="5"/>
  <c r="G23" i="5"/>
  <c r="C23" i="5"/>
  <c r="E23" i="5"/>
  <c r="F23" i="5"/>
  <c r="E24" i="5"/>
  <c r="G24" i="5"/>
  <c r="C24" i="5"/>
  <c r="F24" i="5"/>
  <c r="D24" i="5"/>
  <c r="E25" i="5"/>
  <c r="G25" i="5"/>
  <c r="C25" i="5"/>
  <c r="D25" i="5"/>
  <c r="F25" i="5"/>
  <c r="F26" i="5"/>
  <c r="C26" i="5"/>
  <c r="D26" i="5"/>
  <c r="G26" i="5"/>
  <c r="E26" i="5"/>
  <c r="F21" i="5"/>
  <c r="D21" i="5"/>
  <c r="G21" i="5"/>
  <c r="C21" i="5"/>
  <c r="E21" i="5"/>
  <c r="E27" i="5"/>
  <c r="D27" i="5"/>
  <c r="C27" i="5"/>
  <c r="F27" i="5"/>
  <c r="G27" i="5"/>
  <c r="K22" i="10"/>
  <c r="F13" i="5"/>
  <c r="F14" i="5" s="1"/>
  <c r="C15" i="5"/>
  <c r="C16" i="5" s="1"/>
  <c r="C10" i="7"/>
  <c r="D10" i="7"/>
  <c r="E10" i="7"/>
  <c r="F10" i="7"/>
  <c r="G10" i="7"/>
  <c r="C11" i="5"/>
  <c r="C12" i="5"/>
  <c r="C13" i="5"/>
  <c r="C14" i="5" s="1"/>
  <c r="D10" i="5"/>
  <c r="D11" i="5"/>
  <c r="D12" i="5"/>
  <c r="D15" i="5"/>
  <c r="D16" i="5" s="1"/>
  <c r="C11" i="7"/>
  <c r="D11" i="7"/>
  <c r="E11" i="7"/>
  <c r="F11" i="7"/>
  <c r="G11" i="7"/>
  <c r="D13" i="5"/>
  <c r="D14" i="5" s="1"/>
  <c r="E10" i="5"/>
  <c r="E12" i="5"/>
  <c r="E15" i="5"/>
  <c r="E16" i="5" s="1"/>
  <c r="C12" i="7"/>
  <c r="D12" i="7"/>
  <c r="E12" i="7"/>
  <c r="F12" i="7"/>
  <c r="G12" i="7"/>
  <c r="E11" i="5"/>
  <c r="E13" i="5"/>
  <c r="E14" i="5" s="1"/>
  <c r="H6" i="6"/>
  <c r="F14" i="6"/>
  <c r="D47" i="5" l="1"/>
  <c r="D46" i="6"/>
  <c r="F13" i="6"/>
  <c r="C36" i="5"/>
  <c r="C42" i="5" s="1"/>
  <c r="F36" i="5"/>
  <c r="F42" i="5" s="1"/>
  <c r="E36" i="5"/>
  <c r="E42" i="5" s="1"/>
  <c r="D36" i="5"/>
  <c r="D42" i="5" s="1"/>
  <c r="G36" i="5"/>
  <c r="G42" i="5" s="1"/>
  <c r="C32" i="5"/>
  <c r="C55" i="5"/>
  <c r="C70" i="5" s="1"/>
  <c r="C13" i="2" s="1"/>
  <c r="G59" i="5"/>
  <c r="C44" i="7" s="1"/>
  <c r="D59" i="5"/>
  <c r="C41" i="7" s="1"/>
  <c r="E59" i="5"/>
  <c r="C42" i="7" s="1"/>
  <c r="F59" i="5"/>
  <c r="C43" i="7" s="1"/>
  <c r="C40" i="7"/>
  <c r="G47" i="5"/>
  <c r="F47" i="5"/>
  <c r="E47" i="5"/>
  <c r="E32" i="5"/>
  <c r="G32" i="5"/>
  <c r="F32" i="5"/>
  <c r="D32" i="5"/>
  <c r="F15" i="6"/>
  <c r="H15" i="6"/>
  <c r="C15" i="7"/>
  <c r="D15" i="7"/>
  <c r="E15" i="7"/>
  <c r="F15" i="7"/>
  <c r="G15" i="7"/>
  <c r="C67" i="5" l="1"/>
  <c r="C39" i="7" s="1"/>
  <c r="C49" i="7" s="1"/>
  <c r="E67" i="5"/>
  <c r="F67" i="5"/>
  <c r="D41" i="6"/>
  <c r="F7" i="7"/>
  <c r="G7" i="7"/>
  <c r="D7" i="7"/>
  <c r="D9" i="7" s="1"/>
  <c r="E7" i="7"/>
  <c r="E9" i="7" s="1"/>
  <c r="D42" i="6"/>
  <c r="C36" i="7"/>
  <c r="G67" i="5"/>
  <c r="C33" i="7"/>
  <c r="C34" i="7"/>
  <c r="C35" i="7"/>
  <c r="G63" i="5"/>
  <c r="G44" i="7" s="1"/>
  <c r="F63" i="5"/>
  <c r="G43" i="7" s="1"/>
  <c r="D63" i="5"/>
  <c r="G41" i="7" s="1"/>
  <c r="E63" i="5"/>
  <c r="G42" i="7" s="1"/>
  <c r="C63" i="5"/>
  <c r="G40" i="7" s="1"/>
  <c r="E62" i="5"/>
  <c r="F42" i="7" s="1"/>
  <c r="D62" i="5"/>
  <c r="F41" i="7" s="1"/>
  <c r="F62" i="5"/>
  <c r="F43" i="7" s="1"/>
  <c r="C62" i="5"/>
  <c r="F40" i="7" s="1"/>
  <c r="G62" i="5"/>
  <c r="F44" i="7" s="1"/>
  <c r="D61" i="5"/>
  <c r="E41" i="7" s="1"/>
  <c r="E61" i="5"/>
  <c r="E42" i="7" s="1"/>
  <c r="C61" i="5"/>
  <c r="E40" i="7" s="1"/>
  <c r="G61" i="5"/>
  <c r="E44" i="7" s="1"/>
  <c r="F61" i="5"/>
  <c r="E43" i="7" s="1"/>
  <c r="C60" i="5"/>
  <c r="D40" i="7" s="1"/>
  <c r="D60" i="5"/>
  <c r="D41" i="7" s="1"/>
  <c r="G60" i="5"/>
  <c r="D44" i="7" s="1"/>
  <c r="E60" i="5"/>
  <c r="D42" i="7" s="1"/>
  <c r="F60" i="5"/>
  <c r="D43" i="7" s="1"/>
  <c r="G10" i="2"/>
  <c r="F10" i="2"/>
  <c r="E10" i="2"/>
  <c r="D10" i="2"/>
  <c r="C10" i="2"/>
  <c r="D55" i="5"/>
  <c r="D70" i="5" s="1"/>
  <c r="E55" i="5"/>
  <c r="E70" i="5" s="1"/>
  <c r="F55" i="5"/>
  <c r="F70" i="5" s="1"/>
  <c r="F13" i="2" s="1"/>
  <c r="G55" i="5"/>
  <c r="G70" i="5" s="1"/>
  <c r="G13" i="2" s="1"/>
  <c r="E16" i="7"/>
  <c r="E15" i="2"/>
  <c r="D15" i="2"/>
  <c r="D16" i="7"/>
  <c r="C50" i="7" l="1"/>
  <c r="C51" i="7" s="1"/>
  <c r="C52" i="7" s="1"/>
  <c r="C53" i="7" s="1"/>
  <c r="C54" i="7" s="1"/>
  <c r="E39" i="7"/>
  <c r="E49" i="7" s="1"/>
  <c r="E17" i="7"/>
  <c r="G17" i="7"/>
  <c r="G39" i="7"/>
  <c r="G49" i="7" s="1"/>
  <c r="D32" i="7"/>
  <c r="D33" i="7"/>
  <c r="D34" i="7"/>
  <c r="D35" i="7"/>
  <c r="D36" i="7"/>
  <c r="E32" i="7"/>
  <c r="E33" i="7"/>
  <c r="E34" i="7"/>
  <c r="E35" i="7"/>
  <c r="E36" i="7"/>
  <c r="F39" i="7"/>
  <c r="F49" i="7" s="1"/>
  <c r="F17" i="7"/>
  <c r="D39" i="7"/>
  <c r="D49" i="7" s="1"/>
  <c r="D17" i="7"/>
  <c r="D44" i="6"/>
  <c r="F9" i="7"/>
  <c r="F16" i="7" s="1"/>
  <c r="F15" i="2"/>
  <c r="G9" i="7"/>
  <c r="G15" i="2"/>
  <c r="C15" i="2"/>
  <c r="C16" i="7"/>
  <c r="C16" i="2" s="1"/>
  <c r="H63" i="5"/>
  <c r="G34" i="7"/>
  <c r="G35" i="7"/>
  <c r="G36" i="7"/>
  <c r="H62" i="5"/>
  <c r="F68" i="5" s="1"/>
  <c r="F69" i="5" s="1"/>
  <c r="H61" i="5"/>
  <c r="H60" i="5"/>
  <c r="C68" i="5"/>
  <c r="C69" i="5" s="1"/>
  <c r="C14" i="2" s="1"/>
  <c r="C18" i="7"/>
  <c r="C17" i="7"/>
  <c r="D13" i="2"/>
  <c r="E13" i="2"/>
  <c r="E16" i="2"/>
  <c r="D16" i="2"/>
  <c r="D50" i="7" l="1"/>
  <c r="D51" i="7" s="1"/>
  <c r="D52" i="7" s="1"/>
  <c r="D53" i="7" s="1"/>
  <c r="D54" i="7" s="1"/>
  <c r="E50" i="7"/>
  <c r="E51" i="7" s="1"/>
  <c r="E52" i="7" s="1"/>
  <c r="E53" i="7" s="1"/>
  <c r="E54" i="7" s="1"/>
  <c r="E21" i="7"/>
  <c r="E22" i="7"/>
  <c r="E18" i="2" s="1"/>
  <c r="D21" i="7"/>
  <c r="D22" i="7"/>
  <c r="D18" i="2" s="1"/>
  <c r="G32" i="7"/>
  <c r="G50" i="7" s="1"/>
  <c r="G21" i="7"/>
  <c r="G22" i="7"/>
  <c r="G18" i="2" s="1"/>
  <c r="F21" i="7"/>
  <c r="F22" i="7"/>
  <c r="F18" i="2" s="1"/>
  <c r="F34" i="7"/>
  <c r="F32" i="7"/>
  <c r="F50" i="7" s="1"/>
  <c r="F33" i="7"/>
  <c r="F35" i="7"/>
  <c r="F36" i="7"/>
  <c r="G33" i="7"/>
  <c r="G16" i="7"/>
  <c r="G16" i="2" s="1"/>
  <c r="G18" i="7"/>
  <c r="G19" i="7" s="1"/>
  <c r="G68" i="5"/>
  <c r="G69" i="5" s="1"/>
  <c r="G14" i="2" s="1"/>
  <c r="F14" i="2"/>
  <c r="F18" i="7"/>
  <c r="F19" i="7" s="1"/>
  <c r="F20" i="7" s="1"/>
  <c r="E68" i="5"/>
  <c r="E69" i="5" s="1"/>
  <c r="E14" i="2" s="1"/>
  <c r="E18" i="7"/>
  <c r="E19" i="7" s="1"/>
  <c r="E20" i="7" s="1"/>
  <c r="D68" i="5"/>
  <c r="D69" i="5" s="1"/>
  <c r="D14" i="2" s="1"/>
  <c r="D18" i="7"/>
  <c r="D19" i="7" s="1"/>
  <c r="C19" i="7"/>
  <c r="C22" i="7"/>
  <c r="C18" i="2" s="1"/>
  <c r="C21" i="7"/>
  <c r="F16" i="2"/>
  <c r="F51" i="7" l="1"/>
  <c r="F52" i="7" s="1"/>
  <c r="F53" i="7" s="1"/>
  <c r="F54" i="7" s="1"/>
  <c r="G51" i="7"/>
  <c r="G52" i="7" s="1"/>
  <c r="G53" i="7" s="1"/>
  <c r="G54" i="7" s="1"/>
  <c r="G20" i="7"/>
  <c r="E23" i="7"/>
  <c r="E17" i="2"/>
  <c r="D20" i="7"/>
  <c r="C20" i="7"/>
  <c r="F23" i="7"/>
  <c r="F17" i="2"/>
  <c r="G24" i="7" l="1"/>
  <c r="F24" i="7"/>
  <c r="G23" i="7"/>
  <c r="G17" i="2"/>
  <c r="D17" i="2"/>
  <c r="D23" i="7"/>
  <c r="C23" i="7"/>
  <c r="D24" i="7"/>
  <c r="E24" i="7"/>
  <c r="C17" i="2"/>
  <c r="C2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6"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@Hess, Roman wieso unterscheidet sich der Nutzenwert zwischen den verschiedenen Szenarien?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200-000002000000}">
      <text>
        <r>
          <rPr>
            <sz val="10"/>
            <rFont val="Arial"/>
            <family val="2"/>
          </rPr>
          <t>Planning FX assumption. Used to translate public USD list prices into CHF. Please replace with finance-approved planning FX if needed.</t>
        </r>
      </text>
    </comment>
    <comment ref="B37" authorId="0" shapeId="0" xr:uid="{00000000-0006-0000-0200-000001000000}">
      <text>
        <r>
          <rPr>
            <sz val="10"/>
            <color rgb="FF000000"/>
            <rFont val="Arial"/>
            <family val="2"/>
          </rPr>
          <t xml:space="preserve">[Threaded comment]
</t>
        </r>
        <r>
          <rPr>
            <sz val="10"/>
            <color rgb="FF000000"/>
            <rFont val="Arial"/>
            <family val="2"/>
          </rPr>
          <t xml:space="preserve">
</t>
        </r>
        <r>
          <rPr>
            <sz val="10"/>
            <color rgb="FF000000"/>
            <rFont val="Arial"/>
            <family val="2"/>
          </rPr>
          <t xml:space="preserve">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
</t>
        </r>
        <r>
          <rPr>
            <sz val="10"/>
            <color rgb="FF000000"/>
            <rFont val="Arial"/>
            <family val="2"/>
          </rPr>
          <t xml:space="preserve">Comment:
</t>
        </r>
        <r>
          <rPr>
            <sz val="10"/>
            <color rgb="FF000000"/>
            <rFont val="Arial"/>
            <family val="2"/>
          </rPr>
          <t xml:space="preserve">    @Hess, Roman eigener Tagessatz für Bison-Ressourcen. 
</t>
        </r>
        <r>
          <rPr>
            <sz val="10"/>
            <color rgb="FF000000"/>
            <rFont val="Arial"/>
            <family val="2"/>
          </rPr>
          <t xml:space="preserve">Reply:
</t>
        </r>
        <r>
          <rPr>
            <sz val="10"/>
            <color rgb="FF000000"/>
            <rFont val="Arial"/>
            <family val="2"/>
          </rPr>
          <t xml:space="preserve">    Ja das habe ich heute nochmals mit Matthias geprüft Bison Stundensatz 170CHF/h
</t>
        </r>
        <r>
          <rPr>
            <sz val="10"/>
            <color rgb="FF000000"/>
            <rFont val="Arial"/>
            <family val="2"/>
          </rPr>
          <t>Für Landi Mitarbeiter werden keine Kosten verrechnet / Nur Stunden. Hier müssen wir überlegen, wie wir dies einfliessen lassen.</t>
        </r>
      </text>
    </comment>
    <comment ref="D46" authorId="0" shapeId="0" xr:uid="{00000000-0006-0000-0200-000003000000}">
      <text>
        <r>
          <rPr>
            <sz val="10"/>
            <color rgb="FF000000"/>
            <rFont val="Arial"/>
            <family val="2"/>
          </rPr>
          <t>Planungsannahme für aktuellen Hybrid-/On-Prem-Zustand. Referenz: https://learn.microsoft.com/en-us/power-platform/admin/wp-onpremises-gateway</t>
        </r>
      </text>
    </comment>
    <comment ref="D64" authorId="0" shapeId="0" xr:uid="{00000000-0006-0000-0200-000004000000}">
      <text>
        <r>
          <rPr>
            <sz val="10"/>
            <color rgb="FF000000"/>
            <rFont val="Arial"/>
            <family val="2"/>
          </rPr>
          <t>Legacy conservative efficiency haircut from Landi estimate / previous workbook.</t>
        </r>
      </text>
    </comment>
    <comment ref="D81" authorId="0" shapeId="0" xr:uid="{00000000-0006-0000-0200-000005000000}">
      <text>
        <r>
          <rPr>
            <sz val="10"/>
            <color rgb="FF000000"/>
            <rFont val="Arial"/>
            <family val="2"/>
          </rPr>
          <t>Toggle: 0 keeps base case strictly efficiency-led; 1 adds conservative commercial upside.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tc={B9D9F5E2-1E93-6448-BFF9-153A7C52BEA7}</author>
    <author>tc={6793F4F1-E738-8946-B16F-FDC171703C3D}</author>
    <author>tc={98FC6329-36E7-9940-A6C2-B5209E8FF78E}</author>
    <author>tc={D56D1D76-3D30-224D-BC66-17B00DA39791}</author>
    <author>tc={ADE56373-F079-DD48-92C8-811AE6E1D632}</author>
    <author>tc={4076236C-546D-A345-93A6-847879647F82}</author>
    <author>tc={34ACE1C1-9063-6640-9914-5CEFDEC3FAE2}</author>
    <author>tc={0D197E9F-0316-074A-9768-EFE15200DF50}</author>
    <author>tc={F69F1F73-4F1D-374E-8AD1-EBCB6AFE25CC}</author>
    <author>tc={CB7F11CF-4496-EE44-87C0-4539011BF503}</author>
  </authors>
  <commentList>
    <comment ref="E6" authorId="0" shapeId="0" xr:uid="{B9D9F5E2-1E93-6448-BFF9-153A7C52BEA7}">
      <text>
        <t>[Threaded comment]
Your version of Excel allows you to read this threaded comment; however, any edits to it will get removed if the file is opened in a newer version of Excel. Learn more: https://go.microsoft.com/fwlink/?linkid=870924
Comment:
    Selbst bei Opensource würde man wohl hier eher auf Frontier-Lab-Models (Non-OSS) gehen
Reply:
    Ja macht Sinn. Das schreibe ich um</t>
      </text>
    </comment>
    <comment ref="F9" authorId="1" shapeId="0" xr:uid="{6793F4F1-E738-8946-B16F-FDC171703C3D}">
      <text>
        <t xml:space="preserve">[Threaded comment]
Your version of Excel allows you to read this threaded comment; however, any edits to it will get removed if the file is opened in a newer version of Excel. Learn more: https://go.microsoft.com/fwlink/?linkid=870924
Comment:
    Warum hier höher als beim Rest?
Reply:
    Gute Frage. Ich pass das an. GCP Vertex ist ja ähnlich wie Copilot
</t>
      </text>
    </comment>
    <comment ref="H10" authorId="2" shapeId="0" xr:uid="{98FC6329-36E7-9940-A6C2-B5209E8FF78E}">
      <text>
        <t>[Threaded comment]
Your version of Excel allows you to read this threaded comment; however, any edits to it will get removed if the file is opened in a newer version of Excel. Learn more: https://go.microsoft.com/fwlink/?linkid=870924
Comment:
    Gibt es eine Begründung für die höhere Bewertung der Cloudservices-Varianten? Weniger cusomizable?
Reply:
    Ich hab sie jetzt gleich genommen mit dem Copilot und die OpenSource variante etwas höher genommen</t>
      </text>
    </comment>
    <comment ref="H11" authorId="3" shapeId="0" xr:uid="{D56D1D76-3D30-224D-BC66-17B00DA39791}">
      <text>
        <t xml:space="preserve">[Threaded comment]
Your version of Excel allows you to read this threaded comment; however, any edits to it will get removed if the file is opened in a newer version of Excel. Learn more: https://go.microsoft.com/fwlink/?linkid=870924
Comment:
    Du machst hier keine Unterscheidung zwischen Application Manager und Entwicklung. Meines Erachtens fehlt noch ein Weiterentwickungs-/Bugfixes und Patching-Posten (Klammer Dev?). Wenn ich mir die Architektur anschaue, dann unterscheidet  sich Azure zu Azure OSS in Azure AI Agent Service zu Azure Container Apps. Also wäre für mich der Plattform-Aufwand dort nahezu gleich. Den Dev Aufwand würde ich bei normalerweise bei OSS dagegen höher als bei den Cloudvarianten sehen. Allerdings würden wir ja auch bei Azure mit der SDK entwickeln (bei MS mit Sicherheit umstàndlich:-)). Summa summarum. Wenn Du Plattform / Integration um Dev erweiterst (eine Klammer), denke ich ist eine Abweichung zu gunsten OSS nach unten vertretbar, allerdings nicht so deutlich. Viellecht 50% vs. 40%. 
Reply:
    Passt ich habe es angepasst
</t>
      </text>
    </comment>
    <comment ref="H12" authorId="4" shapeId="0" xr:uid="{ADE56373-F079-DD48-92C8-811AE6E1D632}">
      <text>
        <t xml:space="preserve">[Threaded comment]
Your version of Excel allows you to read this threaded comment; however, any edits to it will get removed if the file is opened in a newer version of Excel. Learn more: https://go.microsoft.com/fwlink/?linkid=870924
Comment:
    Kannst Du die Abweichungen begründen. Warum Azure am höchsten? Ich sehe da keine grossen Unterschiede zwischen den Varianten
Reply:
    Korrekt. Ich habe es nun etwas angepasst und näher zusammengenommen.
</t>
      </text>
    </comment>
    <comment ref="F22" authorId="5" shapeId="0" xr:uid="{4076236C-546D-A345-93A6-847879647F82}">
      <text>
        <t>[Threaded comment]
Your version of Excel allows you to read this threaded comment; however, any edits to it will get removed if the file is opened in a newer version of Excel. Learn more: https://go.microsoft.com/fwlink/?linkid=870924
Comment:
    Das GCP nur 1/10 des Azure-Preises sein soll, kommt mir nicht sehr realistisch vor. Siehe mein Input der Kostenschätzung von damals</t>
      </text>
    </comment>
    <comment ref="G23" authorId="6" shapeId="0" xr:uid="{34ACE1C1-9063-6640-9914-5CEFDEC3FAE2}">
      <text>
        <t>[Threaded comment]
Your version of Excel allows you to read this threaded comment; however, any edits to it will get removed if the file is opened in a newer version of Excel. Learn more: https://go.microsoft.com/fwlink/?linkid=870924
Comment:
    vs.1250 CHF in Kostenschàtzung</t>
      </text>
    </comment>
    <comment ref="F27" authorId="7" shapeId="0" xr:uid="{0D197E9F-0316-074A-9768-EFE15200DF50}">
      <text>
        <t>[Threaded comment]
Your version of Excel allows you to read this threaded comment; however, any edits to it will get removed if the file is opened in a newer version of Excel. Learn more: https://go.microsoft.com/fwlink/?linkid=870924
Comment:
    Wie wird Memory hier gehandelt?
Reply:
    Gute Frage. Memory für die DB? Müsste wohl hier aufgeführt werden. Kenn mich da mit Vertex aber nicht ganz so gut aus
Reply:
    Nein nicht Memory für die DB, sondern wie wird Memory bzw. Historie gespeichert. Bei allen anderen ist es ja nicht Null.
Reply:
    Ah, lese gerade, dass das bei Vertext AI schon inkludiert ist.
Reply:
    Top. Dann passt das so oder?</t>
      </text>
    </comment>
    <comment ref="F39" authorId="8" shapeId="0" xr:uid="{F69F1F73-4F1D-374E-8AD1-EBCB6AFE25CC}">
      <text>
        <t>[Threaded comment]
Your version of Excel allows you to read this threaded comment; however, any edits to it will get removed if the file is opened in a newer version of Excel. Learn more: https://go.microsoft.com/fwlink/?linkid=870924
Comment:
    Da gehe ich davon aus, dass GCP womöglich in nichts nachsteht
Reply:
    Ist angepasst</t>
      </text>
    </comment>
    <comment ref="H42" authorId="9" shapeId="0" xr:uid="{CB7F11CF-4496-EE44-87C0-4539011BF503}">
      <text>
        <t>[Threaded comment]
Your version of Excel allows you to read this threaded comment; however, any edits to it will get removed if the file is opened in a newer version of Excel. Learn more: https://go.microsoft.com/fwlink/?linkid=870924
Comment:
    Ich weiss nicht, wie das nachher verarbeitet wird, aber die Skala ist gegenüber allen anderen gedreht...
Reply:
    Passt ich habs angepasst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tc={9F1D42E5-33F7-4BBC-97B8-DBD861D5FA53}</author>
    <author>tc={1C799DC6-139F-3B48-AE7F-FC6BA49876A6}</author>
    <author>tc={0D45EA30-3B7C-5345-9919-A3C89B003D6F}</author>
    <author>tc={D969DA4C-C470-664B-9658-6326558FDF8B}</author>
    <author>tc={BC700621-1946-A74D-809C-98E51BB24931}</author>
  </authors>
  <commentList>
    <comment ref="M29" authorId="0" shapeId="0" xr:uid="{9F1D42E5-33F7-4BBC-97B8-DBD861D5FA53}">
      <text>
        <t xml:space="preserve">[Threaded comment]
Your version of Excel allows you to read this threaded comment; however, any edits to it will get removed if the file is opened in a newer version of Excel. Learn more: https://go.microsoft.com/fwlink/?linkid=870924
Comment:
    Fehlt hier noch ein Cloud Engineer, z.B. im Falle Azure müsste ja IaC alles gemacht werden. Macht das Bison?
Reply:
    Denkst du das kann nicht über die Rolle Solution Architect / Lead Engineer abgedeckt werden?
Reply:
    Vielleicht ist mir seine Rolle auch noch nicht ganz klar, vor allem bei jedem Use Case. Programmiert sie / er das Backend / Frontend oder ist sie / er für den Platffromaufbau zustàndig? Falls letzters wèrde ich es vermutlich eher von den Use Cases entkoppeln.
Reply:
    Oder wenn Du die Projektphase / Integration für die Konzeption vorsiehst und die Use Cases für die iterative Umsetzung der Architektur, dann würde ich den Data Architekt in der ersten Phase und den Cloud Engineer in der zweiten Phase  (bei den Use Cases) sehen
Reply:
    IaC ist nicht unbedingt ein Skill, das ein Data Architect / Solution Architect zwangsläufig mitbringt. </t>
      </text>
    </comment>
    <comment ref="C43" authorId="1" shapeId="0" xr:uid="{1C799DC6-139F-3B48-AE7F-FC6BA49876A6}">
      <text>
        <t>[Threaded comment]
Your version of Excel allows you to read this threaded comment; however, any edits to it will get removed if the file is opened in a newer version of Excel. Learn more: https://go.microsoft.com/fwlink/?linkid=870924
Comment:
    @Hess, Roman die Wochenschätzungen sind nicht realistisch. 1 Woche für einen Use Case End-to-end von der Analyse, Datenaufbereitung, Entwicklung, Integration, Testing ist zu wenig. 1 Monat wäre wahrscheinlich realistischer. 
Reply:
    Die Wochenschätzung basiert aktuell auf der maximalen Anzahl Tage pro Rolle / 5.
Also wie viele Wochen nicht parallelisiert werden können. Ich kann die Berechnung noch anpassen
Reply:
    Ja würde ich anpassen, oder vielleicht ganz weglassen. PT sind wichtiger und aussagekräftiger</t>
      </text>
    </comment>
    <comment ref="H43" authorId="2" shapeId="0" xr:uid="{0D45EA30-3B7C-5345-9919-A3C89B003D6F}">
      <text>
        <t>[Threaded comment]
Your version of Excel allows you to read this threaded comment; however, any edits to it will get removed if the file is opened in a newer version of Excel. Learn more: https://go.microsoft.com/fwlink/?linkid=870924
Comment:
    @Hess, Roman die PT Schätzungen sind alle sehr tief, wahrscheinlich nicht realistisch. 
Reply:
    Hier stellt sich die Frage, wie anspruchsvoll die Implementierung noch sein wird. Nachdem die Daten angebunden können die Agenten ja copy pasted werden (bildlich gesprochen) :D
Reply:
    In der Theorie ist immer alles einfach. In der Praxis tauchen dann oft unerwartete Probleme auf. Testing und iterative Verbesserungen wird sicher aufwendig sein. Da hätte wahrscheinlich Silvan Melchior einiges zu berichten. Ich würde deshalb genug einplanen, wir dürfen ruhig auf knapp eine Million kommen für das MVP denke ich. 
Reply:
    Also ich schliesse mich da an: ich denke 1 Tag pro Use Case für den AI Engineer ist sehr optimistisch
Reply:
    Passt</t>
      </text>
    </comment>
    <comment ref="B56" authorId="3" shapeId="0" xr:uid="{D969DA4C-C470-664B-9658-6326558FDF8B}">
      <text>
        <t>[Threaded comment]
Your version of Excel allows you to read this threaded comment; however, any edits to it will get removed if the file is opened in a newer version of Excel. Learn more: https://go.microsoft.com/fwlink/?linkid=870924
Comment:
    @Hess, Roman bei allen Rollen sollten wir einen Prozentsatz draufrechnen für Abstimmung, wie zum Beispiel die ganzen Scrum Meetings. Das können schon so 15-20% sein denke ich. 
Reply:
    Passt
Reply:
    Zudem: wer erstellt das Betriebskonzept? Ist das Teil dieses Items? PMO / Steuerung...
Reply:
    Was genau meinst du mit Betriebskonzept?
Also wie ein produktiver Betrieb laufen würde?</t>
      </text>
    </comment>
    <comment ref="L58" authorId="4" shapeId="0" xr:uid="{BC700621-1946-A74D-809C-98E51BB24931}">
      <text>
        <t xml:space="preserve">[Threaded comment]
Your version of Excel allows you to read this threaded comment; however, any edits to it will get removed if the file is opened in a newer version of Excel. Learn more: https://go.microsoft.com/fwlink/?linkid=870924
Comment:
    @Hess, Roman Preis für MVP ist zu tief. Der geht aber hoch wenn wir die PTs anpassen. 1 Mio wäre realistisch. Sie haben 2 Mio Budget wenn ich mich richtig erinnere.
Reply:
    Ich glaube 2 Mio. waren für das komplette Projekt von Discovery bis Go Live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tc={937604DE-E6F2-644D-A761-A93EA3C6DD8E}</author>
  </authors>
  <commentList>
    <comment ref="B31" authorId="0" shapeId="0" xr:uid="{00000000-0006-0000-0400-000001000000}">
      <text>
        <r>
          <rPr>
            <sz val="10"/>
            <color rgb="FF000000"/>
            <rFont val="Arial"/>
            <family val="2"/>
          </rPr>
          <t xml:space="preserve">[Threaded comment]
</t>
        </r>
        <r>
          <rPr>
            <sz val="10"/>
            <color rgb="FF000000"/>
            <rFont val="Arial"/>
            <family val="2"/>
          </rPr>
          <t xml:space="preserve">
</t>
        </r>
        <r>
          <rPr>
            <sz val="10"/>
            <color rgb="FF000000"/>
            <rFont val="Arial"/>
            <family val="2"/>
          </rPr>
          <t xml:space="preserve">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
</t>
        </r>
        <r>
          <rPr>
            <sz val="10"/>
            <color rgb="FF000000"/>
            <rFont val="Arial"/>
            <family val="2"/>
          </rPr>
          <t xml:space="preserve">Comment:
</t>
        </r>
        <r>
          <rPr>
            <sz val="10"/>
            <color rgb="FF000000"/>
            <rFont val="Arial"/>
            <family val="2"/>
          </rPr>
          <t xml:space="preserve">    @Hess, Roman hier sollten wir unterteilen in Landi CH und Bison Aufwände. Bison ist ja so halb extern. 
</t>
        </r>
        <r>
          <rPr>
            <sz val="10"/>
            <color rgb="FF000000"/>
            <rFont val="Arial"/>
            <family val="2"/>
          </rPr>
          <t xml:space="preserve">Reply:
</t>
        </r>
        <r>
          <rPr>
            <sz val="10"/>
            <color rgb="FF000000"/>
            <rFont val="Arial"/>
            <family val="2"/>
          </rPr>
          <t xml:space="preserve">    Ja das müsste man unterscheiden. Allgemein mit einem Kostensatz von 0 intern müssen wir schauen wie wir dies abbilden wollen
</t>
        </r>
      </text>
    </comment>
    <comment ref="B41" authorId="0" shapeId="0" xr:uid="{638186C9-89DB-FC44-900F-AB6B1757DE6A}">
      <text>
        <r>
          <rPr>
            <sz val="10"/>
            <color rgb="FF000000"/>
            <rFont val="Arial"/>
            <family val="2"/>
          </rPr>
          <t xml:space="preserve">[Threaded comment]
</t>
        </r>
        <r>
          <rPr>
            <sz val="10"/>
            <color rgb="FF000000"/>
            <rFont val="Arial"/>
            <family val="2"/>
          </rPr>
          <t xml:space="preserve">
</t>
        </r>
        <r>
          <rPr>
            <sz val="10"/>
            <color rgb="FF000000"/>
            <rFont val="Arial"/>
            <family val="2"/>
          </rPr>
          <t xml:space="preserve">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
</t>
        </r>
        <r>
          <rPr>
            <sz val="10"/>
            <color rgb="FF000000"/>
            <rFont val="Arial"/>
            <family val="2"/>
          </rPr>
          <t xml:space="preserve">Comment:
</t>
        </r>
        <r>
          <rPr>
            <sz val="10"/>
            <color rgb="FF000000"/>
            <rFont val="Arial"/>
            <family val="2"/>
          </rPr>
          <t xml:space="preserve">    @Hess, Roman hier sollten wir unterteilen in Landi CH und Bison Aufwände. Bison ist ja so halb extern. 
</t>
        </r>
        <r>
          <rPr>
            <sz val="10"/>
            <color rgb="FF000000"/>
            <rFont val="Arial"/>
            <family val="2"/>
          </rPr>
          <t xml:space="preserve">Reply:
</t>
        </r>
        <r>
          <rPr>
            <sz val="10"/>
            <color rgb="FF000000"/>
            <rFont val="Arial"/>
            <family val="2"/>
          </rPr>
          <t xml:space="preserve">    Ja das müsste man unterscheiden. Allgemein mit einem Kostensatz von 0 intern müssen wir schauen wie wir dies abbilden wollen
</t>
        </r>
      </text>
    </comment>
    <comment ref="B67" authorId="1" shapeId="0" xr:uid="{937604DE-E6F2-644D-A761-A93EA3C6DD8E}">
      <text>
        <t>[Threaded comment]
Your version of Excel allows you to read this threaded comment; however, any edits to it will get removed if the file is opened in a newer version of Excel. Learn more: https://go.microsoft.com/fwlink/?linkid=870924
Comment:
    @Hess, Roman die Werte sind zu tief, sollten aber korrigiert werden wenn wir Abschnitt 2 korrigieren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tc={2E5E5AE9-F3EF-A546-BACB-32C1EC3F9ACB}</author>
    <author>tc={25CB2C34-F046-A249-ACCE-3FF741DB8A4F}</author>
    <author>tc={2C0FFDF7-6E4F-6640-A8BE-DC865B770795}</author>
    <author>tc={0465A196-186E-7E49-8034-C84A3372A64B}</author>
  </authors>
  <commentList>
    <comment ref="AB25" authorId="0" shapeId="0" xr:uid="{2E5E5AE9-F3EF-A546-BACB-32C1EC3F9ACB}">
      <text>
        <t>[Threaded comment]
Your version of Excel allows you to read this threaded comment; however, any edits to it will get removed if the file is opened in a newer version of Excel. Learn more: https://go.microsoft.com/fwlink/?linkid=870924
Comment:
    Annahme: 10% mehr Ersatzteilverkäufe (236'874 Ersatzteile an Endkunden im 2025)</t>
      </text>
    </comment>
    <comment ref="AC25" authorId="1" shapeId="0" xr:uid="{25CB2C34-F046-A249-ACCE-3FF741DB8A4F}">
      <text>
        <t>[Threaded comment]
Your version of Excel allows you to read this threaded comment; however, any edits to it will get removed if the file is opened in a newer version of Excel. Learn more: https://go.microsoft.com/fwlink/?linkid=870924
Comment:
    Im Schnitt 6.- pro Ersatzteil, darauf 25% Marge</t>
      </text>
    </comment>
    <comment ref="AD25" authorId="2" shapeId="0" xr:uid="{2C0FFDF7-6E4F-6640-A8BE-DC865B770795}">
      <text>
        <t xml:space="preserve">[Threaded comment]
Your version of Excel allows you to read this threaded comment; however, any edits to it will get removed if the file is opened in a newer version of Excel. Learn more: https://go.microsoft.com/fwlink/?linkid=870924
Comment:
    Es ist fraglich, ob aus dem zusätzlichen Ersatzteilverkauf wirklich ein Umsatzwachstum entsteht, oder ob die Ersatzteile meistens auf Garantie laufen. In dem Fall würde es vielleicht mehr Sinn machen die Fälle zu schätzen, wo statt dem ganzen Produkt nur das Ersatzteil auf Garantie rausgegeben werden muss. </t>
      </text>
    </comment>
    <comment ref="O27" authorId="3" shapeId="0" xr:uid="{0465A196-186E-7E49-8034-C84A3372A64B}">
      <text>
        <t>[Threaded comment]
Your version of Excel allows you to read this threaded comment; however, any edits to it will get removed if the file is opened in a newer version of Excel. Learn more: https://go.microsoft.com/fwlink/?linkid=870924
Comment:
    Kundendaten müssen immer noch manuell erfasst werden</t>
      </text>
    </comment>
  </commentList>
</comments>
</file>

<file path=xl/sharedStrings.xml><?xml version="1.0" encoding="utf-8"?>
<sst xmlns="http://schemas.openxmlformats.org/spreadsheetml/2006/main" count="1764" uniqueCount="1155">
  <si>
    <t>Digitaler Assistent – Szenario- und Nutzenmodell</t>
  </si>
  <si>
    <t>Zweck</t>
  </si>
  <si>
    <t>Kosten- und Nutzenanalyse für Digitalen Assistenten bei der Landi. 5 Szenarien: Copilot Studio, GCP Vertex AI, Azure Komponenten (GPT-5.1 CH North), Open Source Azure, GCP Custom. ZenAI entfernt. 6 priorisierte Use Cases (alle 100% generativ). 600 Nutzer · 6 Kernsysteme · 5-Jahres-TCO.</t>
  </si>
  <si>
    <t>Arbeitsweise</t>
  </si>
  <si>
    <t>Wichtiger Modellentscheid</t>
  </si>
  <si>
    <t>Die operative Landi-Top-down-Schätzung und die Workshop-Bottom-up-Schätzung werden bewusst parallel gezeigt. Der Basiscase nutzt die konservative Effizienzsicht; kommerzielle Upside ist standardmässig deaktiviert.</t>
  </si>
  <si>
    <t>Hinweis zu Preisen &amp; Annahmen</t>
  </si>
  <si>
    <t>Hinweis</t>
  </si>
  <si>
    <t>Executive Summary – Szenariovergleich Digitaler Assistent</t>
  </si>
  <si>
    <t>Kernaussage</t>
  </si>
  <si>
    <t>Copilot Studio</t>
  </si>
  <si>
    <t>Azure Komponenten</t>
  </si>
  <si>
    <t>Open Source auf Azure</t>
  </si>
  <si>
    <t>GCP Vertex AI</t>
  </si>
  <si>
    <t>GCP Custom</t>
  </si>
  <si>
    <t>Strategische Analyse</t>
  </si>
  <si>
    <t>GPT-5.1 in CH North; volle CH-Residenz; Token CHF 95/Mo; beste Wahl für GPT-5.1+CH+SAP/ERP.</t>
  </si>
  <si>
    <t>Llama 4/Phi-4; kein OpenAI-Lock-in; CH North möglich; LLM-Ops nötig; längste Delivery.</t>
  </si>
  <si>
    <t>GCP Agent Builder + Gemini 3.1; günstigstes OPEX korrigiert; keine CH-Residenz; GCP-Strategie.</t>
  </si>
  <si>
    <t>Cloud Run+ADK+Gemini direkt+Firestore; günstigstes all-in OPEX; keine CH-Residenz.</t>
  </si>
  <si>
    <t>Empfohlenes Zielnarrativ: Copilot = schneller Start; Azure = strategische Zielarchitektur; Open Source = Souveränitätsoption. Im v6-Modell wurde Copilot nicht mehr als rein cloud-native Abkürzung gerechnet, sondern für eine Hybrid-/On-Prem-Landschaft kalibriert.</t>
  </si>
  <si>
    <t>Messgrösse</t>
  </si>
  <si>
    <t>Azure Komp. (GPT-5.1 CH North)</t>
  </si>
  <si>
    <t>Open Source Azure</t>
  </si>
  <si>
    <t>Kommentar</t>
  </si>
  <si>
    <t>Externe Personentage</t>
  </si>
  <si>
    <t>Lieferaufwand extern</t>
  </si>
  <si>
    <t>Interne Personentage</t>
  </si>
  <si>
    <t>Business-/IT-Last intern</t>
  </si>
  <si>
    <t>Implementierungsinvestition</t>
  </si>
  <si>
    <t>Einmalige Investition</t>
  </si>
  <si>
    <t>Steady-state OPEX p.a. (Y4)</t>
  </si>
  <si>
    <t>Dauerbetrieb</t>
  </si>
  <si>
    <t>5Y TCO</t>
  </si>
  <si>
    <t>Investition + 5Y OPEX</t>
  </si>
  <si>
    <t>Konservatives Nutzenpotenzial p.a.</t>
  </si>
  <si>
    <t>Nach Szenario-Realisierung</t>
  </si>
  <si>
    <t>Kumulierter Nutzen über 5 Jahre</t>
  </si>
  <si>
    <t>Ramp-up berücksichtigt</t>
  </si>
  <si>
    <t>5Y Nettowert</t>
  </si>
  <si>
    <t>Nutzen minus TCO</t>
  </si>
  <si>
    <t>Payback (Monate)</t>
  </si>
  <si>
    <t>Steady-state-Payback</t>
  </si>
  <si>
    <t>Wert</t>
  </si>
  <si>
    <t>Ausgewählter Basiscase p.a.</t>
  </si>
  <si>
    <t>4) Qualitative Scorecard</t>
  </si>
  <si>
    <t>Kriterium</t>
  </si>
  <si>
    <t>Azure Komp. (GPT-5.1)</t>
  </si>
  <si>
    <t>Schnelle Umsetzung</t>
  </si>
  <si>
    <t>5 = am schnellsten</t>
  </si>
  <si>
    <t>Flexibilität / Optimierbarkeit</t>
  </si>
  <si>
    <t>5 = am flexibelsten</t>
  </si>
  <si>
    <t>Integrationsfähigkeit</t>
  </si>
  <si>
    <t>5 = am einfachsten</t>
  </si>
  <si>
    <t>Governance / Controls</t>
  </si>
  <si>
    <t>5 = am stärksten</t>
  </si>
  <si>
    <t>Vendor Lock-in Risiko</t>
  </si>
  <si>
    <t>Future-Readiness</t>
  </si>
  <si>
    <t>5 = höchste Zukunftsfähigkeit</t>
  </si>
  <si>
    <t>MCP-Readiness</t>
  </si>
  <si>
    <t>5 = offenste Architektur</t>
  </si>
  <si>
    <t>Integrierte Eingaben: Skalierung, Nutzung, Nutzen und kommerzielle Hebel</t>
  </si>
  <si>
    <t>Treiber</t>
  </si>
  <si>
    <t>Einheit</t>
  </si>
  <si>
    <t>Wert / Y1</t>
  </si>
  <si>
    <t>Y2</t>
  </si>
  <si>
    <t>Y3</t>
  </si>
  <si>
    <t>Y4</t>
  </si>
  <si>
    <t>Y5</t>
  </si>
  <si>
    <t>Notiz / Quelle</t>
  </si>
  <si>
    <t>1) Skalierung, Organisation und Basisgrössen</t>
  </si>
  <si>
    <t>Anzahl PoS</t>
  </si>
  <si>
    <t>Anzahl</t>
  </si>
  <si>
    <t>Anzahl Service-Mitarbeitende pro PoS</t>
  </si>
  <si>
    <t>Service-Center Nutzer / Mitarbeitende</t>
  </si>
  <si>
    <t>Anpassbar; bisherige Baseline.</t>
  </si>
  <si>
    <t>Zentrale Fachanwender / Experten</t>
  </si>
  <si>
    <t>Zusätzliche Power User.</t>
  </si>
  <si>
    <t>Totale potenzielle Nutzer</t>
  </si>
  <si>
    <t>Formel</t>
  </si>
  <si>
    <t>Formel aus Filialen und zentralen Rollen</t>
  </si>
  <si>
    <t>Arbeitstage pro Jahr</t>
  </si>
  <si>
    <t>Tage</t>
  </si>
  <si>
    <t>Aus Landi-Annahmen</t>
  </si>
  <si>
    <t>Arbeitstage pro Monat</t>
  </si>
  <si>
    <t>Planungswert für Nutzungsmodell</t>
  </si>
  <si>
    <t>Betriebsstunden pro Tag</t>
  </si>
  <si>
    <t>Stunden</t>
  </si>
  <si>
    <t>Näherungswert für Concurrency</t>
  </si>
  <si>
    <t>Planungshorizont</t>
  </si>
  <si>
    <t>Jahre</t>
  </si>
  <si>
    <t>Standard im Modell</t>
  </si>
  <si>
    <t>USD/CHF Wechselkurs</t>
  </si>
  <si>
    <t>FX</t>
  </si>
  <si>
    <t>Planungswert für Umrechnung öffentlicher USD-Preise</t>
  </si>
  <si>
    <t>2) Nutzungs- und Adoptionsmodell</t>
  </si>
  <si>
    <t>Anteil monatlich aktiver Nutzer</t>
  </si>
  <si>
    <t>% Y1–Y5</t>
  </si>
  <si>
    <t>Ramp-up bis steady state</t>
  </si>
  <si>
    <t>Interaktionen pro aktivem Nutzer und Arbeitstag</t>
  </si>
  <si>
    <t>Mitarbeiter-Use-Cases in der Filiale / im SC</t>
  </si>
  <si>
    <t>Durchschnitt Input-Tokens pro Interaktion</t>
  </si>
  <si>
    <t>Token</t>
  </si>
  <si>
    <t>Text + Kontext</t>
  </si>
  <si>
    <t>Durchschnitt Output-Tokens pro Interaktion</t>
  </si>
  <si>
    <t>Antwort + Begründung</t>
  </si>
  <si>
    <t>Anteil Bild-/Produktidentifikation</t>
  </si>
  <si>
    <t>% der Interaktionen</t>
  </si>
  <si>
    <t>Produktidentifikation / visuelle Diagnose</t>
  </si>
  <si>
    <t>Zusätzliche Input-Tokens für Bildinteraktionen</t>
  </si>
  <si>
    <t>Token-Äquivalent</t>
  </si>
  <si>
    <t>Näherungswert</t>
  </si>
  <si>
    <t>Anteil RAG-/Retrieval-Interaktionen</t>
  </si>
  <si>
    <t>Kontextzugriff auf Wissen und Systeme</t>
  </si>
  <si>
    <t>Anteil Interaktionen mit Aktion / Write-back</t>
  </si>
  <si>
    <t>z. B. Fall vorbereiten, Lookup, Update</t>
  </si>
  <si>
    <t>Ablaufaktionen pro aktiver Aktionsinteraktion</t>
  </si>
  <si>
    <t>z. B. Connector-/Flow-Aktionen</t>
  </si>
  <si>
    <t>Spitzenlast-Multiplikator</t>
  </si>
  <si>
    <t>x</t>
  </si>
  <si>
    <t>Für Peak-Token-/GPU-Dimensionierung</t>
  </si>
  <si>
    <t>3) Komplexität und Kostensätze</t>
  </si>
  <si>
    <t>Zu integrierende Wissensquellen</t>
  </si>
  <si>
    <t>z. B. Knowledge Base, Blob, SharePoint</t>
  </si>
  <si>
    <t>Zu integrierende Kernsysteme</t>
  </si>
  <si>
    <t>PIM, MAM, ERP, CRM, etc.</t>
  </si>
  <si>
    <t>Anwendungsfälle Phase 1</t>
  </si>
  <si>
    <t>Produkt identifizieren, Diagnose, Handlungsoptionen, etc.</t>
  </si>
  <si>
    <t>Sprachen / Märkte in Welle 1</t>
  </si>
  <si>
    <t>Mehrsprachigkeit erhöht Design- und Testaufwand</t>
  </si>
  <si>
    <t>Sicherheits- / Compliance-Multiplikator</t>
  </si>
  <si>
    <t>Hebel auf Integrations-/Testaufwand</t>
  </si>
  <si>
    <t>Externer Tagessatz</t>
  </si>
  <si>
    <t>CHF / PD</t>
  </si>
  <si>
    <t>Gemischtes Delivery-Team</t>
  </si>
  <si>
    <t>Interner Projekt-Tagessatz</t>
  </si>
  <si>
    <t>Business, IT, Security, UAT, Intern kein Kostensatz</t>
  </si>
  <si>
    <t>Bison Tagessatz</t>
  </si>
  <si>
    <t xml:space="preserve">Bison Stundensatz </t>
  </si>
  <si>
    <t>Personalkosten Service / Filiale</t>
  </si>
  <si>
    <t>CHF / Stunde</t>
  </si>
  <si>
    <t>User input</t>
  </si>
  <si>
    <t>Vollkostenähnlicher Satz Service / Technik</t>
  </si>
  <si>
    <t>Für unnötige Serviceaufträge</t>
  </si>
  <si>
    <t>Service-Center / Admin Satz</t>
  </si>
  <si>
    <t>Für Anfragen / Retouren / Admin</t>
  </si>
  <si>
    <t>Produktive Stunden pro FTE / Jahr</t>
  </si>
  <si>
    <t>Für FTE-Lens</t>
  </si>
  <si>
    <t>Monatskosten FTE Geschäft / Produkt</t>
  </si>
  <si>
    <t>CHF / Monat</t>
  </si>
  <si>
    <t>PO / Governance / Business Ownership</t>
  </si>
  <si>
    <t>Monatskosten FTE Plattform / Integration</t>
  </si>
  <si>
    <t>Engineering / Integration / DevOps</t>
  </si>
  <si>
    <t>Monatskosten FTE Content / Wissen</t>
  </si>
  <si>
    <t>Content Ops / Wissenspflege</t>
  </si>
  <si>
    <t>Contingency auf externe Plattformkosten</t>
  </si>
  <si>
    <t>%</t>
  </si>
  <si>
    <t>Auf variable/feste Plattformkosten</t>
  </si>
  <si>
    <t>Hybrid- / On-Prem-Integrationsfaktor</t>
  </si>
  <si>
    <t>Erhöht Integrationsaufwand bei On-Prem-Systemen, Gateways, Netzwerk, Security und Legacy-Protokollen.</t>
  </si>
  <si>
    <t>4) Nutzenannahmen: operative Effizienz</t>
  </si>
  <si>
    <t>Schriftliche Anfragen pro Jahr</t>
  </si>
  <si>
    <t>Landi Einschätzung</t>
  </si>
  <si>
    <t>Service-Aufträge pro Jahr</t>
  </si>
  <si>
    <t>Retournierte Service-Aufträge pro Jahr</t>
  </si>
  <si>
    <t>Zielwert Reduktion unnötiger Service-Aufträge</t>
  </si>
  <si>
    <t>Top-down Zielwert</t>
  </si>
  <si>
    <t>Bearbeitungsdauer unnötiger Service-Auftrag</t>
  </si>
  <si>
    <t>Minuten</t>
  </si>
  <si>
    <t>Zeitersparnis je retournierter SA (admin)</t>
  </si>
  <si>
    <t>Aus Landi-Nutzenannahme</t>
  </si>
  <si>
    <t>Override vermiedene unnötige Service-Aufträge p.a.</t>
  </si>
  <si>
    <t>Aus Landi-Nutzenannahme / MT2023</t>
  </si>
  <si>
    <t>Override vermiedene Anfragen p.a.</t>
  </si>
  <si>
    <t>Bearbeitungsdauer Anfrage heute</t>
  </si>
  <si>
    <t>Referenz gemäss Nutzenannahme</t>
  </si>
  <si>
    <t>Zeitersparnis auf verbleibenden Anfragen</t>
  </si>
  <si>
    <t>33% = 3.33 Minuten auf 10 Minuten</t>
  </si>
  <si>
    <t>Override verbleibende optimierte Anfragen p.a.</t>
  </si>
  <si>
    <t>Direktgutschriften p.a.</t>
  </si>
  <si>
    <t>Volumen Direktgutschriften p.a.</t>
  </si>
  <si>
    <t>CHF</t>
  </si>
  <si>
    <t>Zielwert Reduktion Direktgutschriften</t>
  </si>
  <si>
    <t>Analoge Annahme wie Top-down</t>
  </si>
  <si>
    <t>Override vermiedene Direktgutschriften p.a.</t>
  </si>
  <si>
    <t>Override Nutzen Direktgutschriften p.a.</t>
  </si>
  <si>
    <t>Konservativer Wirkungsgrad Effizienz</t>
  </si>
  <si>
    <t>Basiscase</t>
  </si>
  <si>
    <t>5) Nutzenannahmen: kommerzielle Hebel / Cross-Sell</t>
  </si>
  <si>
    <t>Ø Online Warenkorb aktuell</t>
  </si>
  <si>
    <t>Online-Umsatz aktuell</t>
  </si>
  <si>
    <t>Ø Online Warenkorb Budget 2026</t>
  </si>
  <si>
    <t>Online-Umsatz Budget 2026</t>
  </si>
  <si>
    <t>landi.ch Sitzungen aktuell p.a.</t>
  </si>
  <si>
    <t>landi.ch Sitzungen Budget 2026 p.a.</t>
  </si>
  <si>
    <t>Conversion Rate aktuell</t>
  </si>
  <si>
    <t>Conversion Rate Budget 2026</t>
  </si>
  <si>
    <t>Conversion Rate neu mit Assistent</t>
  </si>
  <si>
    <t>Totalumsatz stationär p.a.</t>
  </si>
  <si>
    <t>Marge / Deckungsbeitrag</t>
  </si>
  <si>
    <t>Anteil beeinflusste stationäre Verkäufe</t>
  </si>
  <si>
    <t>Konservativer Default; aktiv editieren falls belastbar</t>
  </si>
  <si>
    <t>Basket-Uplift auf beeinflussten Verkäufen</t>
  </si>
  <si>
    <t>Konservativer Default</t>
  </si>
  <si>
    <t>Einkaufsfrequenz-Uplift p.a.</t>
  </si>
  <si>
    <t>Kommerzielle Upside im Basiscase aktiv? (0/1)</t>
  </si>
  <si>
    <t>Schalter</t>
  </si>
  <si>
    <t>0 = nur Effizienz im Basiscase</t>
  </si>
  <si>
    <t>Konservativer Haircut kommerzielle Upside</t>
  </si>
  <si>
    <t>Zur Berücksichtigung von Attribution / Overlap</t>
  </si>
  <si>
    <t>Ersatzteilumsatz 2025</t>
  </si>
  <si>
    <t>Aus Workshop-Datei Sheet1</t>
  </si>
  <si>
    <t>Marge Ersatzteile</t>
  </si>
  <si>
    <t>Umsatzsteigerung Ersatzteile p.a.</t>
  </si>
  <si>
    <t>Szenariologik, Preishebel, Delivery-Aufwand und qualitative Scorecard</t>
  </si>
  <si>
    <t>Treiber / Hebel</t>
  </si>
  <si>
    <t>Narrativ pro Szenario</t>
  </si>
  <si>
    <t>Positionierung</t>
  </si>
  <si>
    <t>Low-Code-Plattform; 100% generative Antworten; MS verwaltet LLM (GPT-4o); Custom Connectors für MAM/Agronet nötig; keine CH-LLM-Residenz; ideal wenn 600 Nutzer bereits M365 Copilot haben.</t>
  </si>
  <si>
    <t>Modulare Azure-Zielarchitektur; GPT-5.1 in Switzerland North bestätigt; volle CH-Datenresidenz; maximale Kontrolle über Prompts, RAG und Integrationen; Function Calling für alle 6 Systeme.</t>
  </si>
  <si>
    <t>GCP Agent Builder + Dialogflow CX + Gemini 3.1 Pro/Flash; managed Plattform; günstige Token-Kosten; keine CH-Datenresidenz (nur EU); ideal wenn GCP strategische Plattform.</t>
  </si>
  <si>
    <t>GCP Custom Stack: Cloud Run + Google ADK + Gemini API direkt + Firestore Vector Search; kein Vertex AI Search Overhead ($4/1K); günstigstes all-in OPEX; keine CH-Datenresidenz (nur EU); GCP-Engineering-Expertise nötig.</t>
  </si>
  <si>
    <t>Diese Narrative fliessen über die Realisierungsfaktoren und die qualitative Scorecard in die Bewertung ein.</t>
  </si>
  <si>
    <t>Product Owner / Backlog (FTE)</t>
  </si>
  <si>
    <t>Business Ownership / Governance</t>
  </si>
  <si>
    <t>Wissensmanagement / Content Ops (FTE)</t>
  </si>
  <si>
    <t>Kuration, Qualität, Aktualität</t>
  </si>
  <si>
    <t>Plattform / Integration (FTE)</t>
  </si>
  <si>
    <t>Korrigiert OSS: 0.7 FTE Plattform/Integration (war: 1.5 FTE für GPU-Cluster-Betrieb). API-basierter Betrieb eliminiert: GPU-Cluster-Management, Inference-Server-Tuning (vLLM/TGI), CUDA/Driver-Updates, Model-Weight-Management, GPU-Autoscaling. Verbleibend: Orchestrierungscode (LangGraph/SK), RAG-Pipeline-Wartung, Integrationen (PIM/MAM/ERP/CRM), Security-Patching, CI/CD, Monitoring. 0.7 FTE = leicht höher als Azure (0.6 FTE) wegen mehr Open-Source-Tooling-Verwaltung. Quelle: Marktpraxis für API-basierte GenAI-Produktivitäts-Agents, 2025.</t>
  </si>
  <si>
    <t>QA / Analytics / Governance (FTE)</t>
  </si>
  <si>
    <t>Quality, Reporting, Guardrails</t>
  </si>
  <si>
    <t>Hypercare-Aufschlag auf FTE im Jahr 1</t>
  </si>
  <si>
    <t>Temporäre Mehrbelastung im ersten Jahr</t>
  </si>
  <si>
    <t>Schnelle Umsetzung bis Marktreife (1–5)</t>
  </si>
  <si>
    <t>5 = schnellste Time-to-Value</t>
  </si>
  <si>
    <t>Flexibilität / Optimierbarkeit (1–5)</t>
  </si>
  <si>
    <t>5 = höchste Tiefe / Modularität</t>
  </si>
  <si>
    <t>Integrationsfähigkeit (1–5)</t>
  </si>
  <si>
    <t>Bei Hybrid-/On-Prem-Landschaft ist Copilot integrativ nicht mehr klar einfacher als Azure-Komponenten.</t>
  </si>
  <si>
    <t>Governance / Controls (1–5)</t>
  </si>
  <si>
    <t>5 = stärkste Governance</t>
  </si>
  <si>
    <t>Vendor Lock-in Risiko (1–5)</t>
  </si>
  <si>
    <t>Future-Readiness / modulare Architektur (1–5)</t>
  </si>
  <si>
    <t>MCP-Readiness / Offenheit (1–5)</t>
  </si>
  <si>
    <t>5 = höchste Offenheit</t>
  </si>
  <si>
    <t>Realisierungsfaktor Effizienznutzen</t>
  </si>
  <si>
    <t>Zukunftsfähigkeit und Abhängigkeitshebel</t>
  </si>
  <si>
    <t>Realisierungsfaktor kommerzielle Upside</t>
  </si>
  <si>
    <t>Tiefere Integration erhöht kommerzielles Potenzial</t>
  </si>
  <si>
    <t>Kostenmodell: Usage, Implementierung, OPEX und 5Y TCO</t>
  </si>
  <si>
    <t>1) Usage- und Kapazitätsbaseline</t>
  </si>
  <si>
    <t>Y1</t>
  </si>
  <si>
    <t>Potenzielle Nutzer</t>
  </si>
  <si>
    <t>Gesamtnutzer aus Input-Sheet</t>
  </si>
  <si>
    <t>Aktive Nutzerquote</t>
  </si>
  <si>
    <t>Ramp-up der Adoption</t>
  </si>
  <si>
    <t>Monatlich aktive Nutzer</t>
  </si>
  <si>
    <t>Jährliche Interaktionen</t>
  </si>
  <si>
    <t>Treiber für variable Kosten und Nutzenramp-up</t>
  </si>
  <si>
    <t>Jährliche Input-Tokens</t>
  </si>
  <si>
    <t>Text + bildbezogene Zusatztokens</t>
  </si>
  <si>
    <t>Jährliche Output-Tokens</t>
  </si>
  <si>
    <t>LLM Output</t>
  </si>
  <si>
    <t>Jährliche Retrieval-/RAG-Requests</t>
  </si>
  <si>
    <t>Requests an Retrieval / Search / Vector</t>
  </si>
  <si>
    <t>Jährliche Interaktionen mit Aktion</t>
  </si>
  <si>
    <t>Interaktionen, die einen Write-back / Tool Call auslösen</t>
  </si>
  <si>
    <t>Jährliche Flow-/Ablaufaktionen</t>
  </si>
  <si>
    <t>Für Flow-/Action-basierte Plattformlogik</t>
  </si>
  <si>
    <t>Peak Interaktionen pro Stunde</t>
  </si>
  <si>
    <t>Hilft bei Kapazitäts- und GPU-Abschätzung</t>
  </si>
  <si>
    <t>Peak Tokens pro Sekunde</t>
  </si>
  <si>
    <t>Relevant für OSS-GPU-Sizing</t>
  </si>
  <si>
    <t>2) Implementierungsinvestition</t>
  </si>
  <si>
    <t>Kostenbaustein</t>
  </si>
  <si>
    <t>Basis-PD</t>
  </si>
  <si>
    <t>Use cases und Sprach-Multiplikator</t>
  </si>
  <si>
    <t>Systeme x Security-Multiplikator x Hybrid-/On-Prem-Faktor</t>
  </si>
  <si>
    <t>Wissensquellen</t>
  </si>
  <si>
    <t>Basis x Security-Multiplikator</t>
  </si>
  <si>
    <t>Nutzerbasis / 100</t>
  </si>
  <si>
    <t>Puffer auf PD-Zwischensumme</t>
  </si>
  <si>
    <t>Einmalige Lizenzen / Tooling / Environments</t>
  </si>
  <si>
    <t>Externe Personentage gesamt</t>
  </si>
  <si>
    <t>Relevant für externe Delivery-Steuerung</t>
  </si>
  <si>
    <t>Interne Personentage gesamt</t>
  </si>
  <si>
    <t>Relevante Business-/IT-Last intern</t>
  </si>
  <si>
    <t>Total Implementierungsinvestition</t>
  </si>
  <si>
    <t>Einmalige Investition Y0</t>
  </si>
  <si>
    <t>Geschätzte MVP-Dauer</t>
  </si>
  <si>
    <t>Grobe Schätzung auf Basis externer PD und paralleler Workstreams</t>
  </si>
  <si>
    <t>3) Steady-State OPEX (Y4) – annualisierte Sicht</t>
  </si>
  <si>
    <t>Copilot = Credits; Azure = Token/Embedding; Open Source = GPU-Inferenzcluster</t>
  </si>
  <si>
    <t>Fixe Plattformbausteine; bei OSS inkl. CPU/App, Search/State und Storage</t>
  </si>
  <si>
    <t>Business Ownership</t>
  </si>
  <si>
    <t>Wissenspflege / Content Ops</t>
  </si>
  <si>
    <t>Qualität / Evaluierung / Reporting</t>
  </si>
  <si>
    <t>Externe Supportleistungen</t>
  </si>
  <si>
    <t>Sicherheits-/Preis-/Unschärfepuffer</t>
  </si>
  <si>
    <t>Total OPEX p.a.</t>
  </si>
  <si>
    <t>Steady-state OPEX Y4</t>
  </si>
  <si>
    <t>4) Jährliche OPEX nach Szenario (Y1–Y5) und 5Y OPEX</t>
  </si>
  <si>
    <t>Szenario</t>
  </si>
  <si>
    <t>5Y OPEX</t>
  </si>
  <si>
    <t>Open Source: API-Token-Kosten (Foundation Model) + Plattform-OPEX + FTE</t>
  </si>
  <si>
    <t>Azure: modular component basket + FTE operating model</t>
  </si>
  <si>
    <t>Open Source: GPU + CPU/App + Search/State + Storage + Support + FTE-Modell</t>
  </si>
  <si>
    <t>GCP Vertex AI: Gemini 3.1 Pro/Flash; Vertex AI Search; Dialogflow CX; EU Data Zone</t>
  </si>
  <si>
    <t>GCP Custom: Cloud Run + ADK + Gemini direkt + Firestore Vector Search</t>
  </si>
  <si>
    <t>5) 5Y TCO Übersicht</t>
  </si>
  <si>
    <t>Einmalige Implementierungsinvestition</t>
  </si>
  <si>
    <t>Aus Abschnitt 2</t>
  </si>
  <si>
    <t>Aus Abschnitt 4</t>
  </si>
  <si>
    <t>Invest + OPEX</t>
  </si>
  <si>
    <t>Jahr 4</t>
  </si>
  <si>
    <t>Nutzenmodell: Landi Top-down, Workshop Bottom-up und kommerzielle Hebel</t>
  </si>
  <si>
    <t>1) Landi Top-down-Nutzenmodell (operativ / Effizienz)</t>
  </si>
  <si>
    <t>Nutzenhebel</t>
  </si>
  <si>
    <t>Treiber / Fälle p.a.</t>
  </si>
  <si>
    <t>Modell CHF p.a.</t>
  </si>
  <si>
    <t>Landi Referenz CHF p.a.</t>
  </si>
  <si>
    <t>Ausgewählt CHF p.a.</t>
  </si>
  <si>
    <t>Stunden p.a.</t>
  </si>
  <si>
    <t>FTE / AE p.a.</t>
  </si>
  <si>
    <t>Unnötige Service-Aufträge vermeiden</t>
  </si>
  <si>
    <t>Referenz: 13’400 SA / CHF 281k</t>
  </si>
  <si>
    <t>Admin-Aufwand retournierte SA reduzieren</t>
  </si>
  <si>
    <t>Landi Referenz: 2 Min pro retournierter SA</t>
  </si>
  <si>
    <t>Direktgutschriften reduzieren</t>
  </si>
  <si>
    <t>Landi Referenz: CHF 697’289</t>
  </si>
  <si>
    <t>Schriftliche Anfragen vermeiden</t>
  </si>
  <si>
    <t>Landi Referenz: 40’620 Anfragen</t>
  </si>
  <si>
    <t>Aufwand auf restlichen Anfragen reduzieren</t>
  </si>
  <si>
    <t>Landi Referenz: 162’480 Restanfragen</t>
  </si>
  <si>
    <t>Brutto-Effizienzpotenzial p.a.</t>
  </si>
  <si>
    <t>Brutto = Summe der fünf Landi-Top-down-Kategorien</t>
  </si>
  <si>
    <t>Default 75% gemäss Legacy-Annahme</t>
  </si>
  <si>
    <t>Konservatives Effizienzpotenzial p.a.</t>
  </si>
  <si>
    <t>Basiscase Effizienzpotenzial p.a.</t>
  </si>
  <si>
    <t>Stunden gesamt p.a.</t>
  </si>
  <si>
    <t>Rechnerische Stundenfreisetzung</t>
  </si>
  <si>
    <t>FTE / AE gesamt</t>
  </si>
  <si>
    <t>Rechnerische FTE-Äquivalente</t>
  </si>
  <si>
    <t>2) Workshop Bottom-up Crosscheck</t>
  </si>
  <si>
    <t>ID</t>
  </si>
  <si>
    <t>Task</t>
  </si>
  <si>
    <t>Primärer Business Case</t>
  </si>
  <si>
    <t>Cases CH</t>
  </si>
  <si>
    <t>Cases Laden</t>
  </si>
  <si>
    <t>Produkt identifizieren</t>
  </si>
  <si>
    <t>Bearbeitungszeit reduzieren</t>
  </si>
  <si>
    <t>Produktinformationen bereitstellen</t>
  </si>
  <si>
    <t>Diagnose durchführen</t>
  </si>
  <si>
    <t>Reduktion der Anfragen</t>
  </si>
  <si>
    <t>Handlungsoptionen empfehlen</t>
  </si>
  <si>
    <t>Serviceaufträge vermeiden</t>
  </si>
  <si>
    <t>Ersatzteil identifizieren</t>
  </si>
  <si>
    <t>Ersatzteilumsatz erhöhen</t>
  </si>
  <si>
    <t>Garantie prüfen</t>
  </si>
  <si>
    <t>Direktgutschriften vermeiden</t>
  </si>
  <si>
    <t>Anfrage (Case) vorbereiten</t>
  </si>
  <si>
    <t>Dokumentation optimieren</t>
  </si>
  <si>
    <t>Dokumentationsqualität steigern</t>
  </si>
  <si>
    <t>TOTAL</t>
  </si>
  <si>
    <t>Bottom-up liegt über Top-down und bestätigt, dass die Legacy-Annahme konservativ ist.</t>
  </si>
  <si>
    <t>3) Kommerzielle Upside und ausgewählter Basiscase</t>
  </si>
  <si>
    <t>Hebel</t>
  </si>
  <si>
    <t>Brutto CHF p.a.</t>
  </si>
  <si>
    <t>landi.ch Conversion-Uplift (aktuell → neu)</t>
  </si>
  <si>
    <t>Primäre eCommerce-Upside</t>
  </si>
  <si>
    <t>landi.ch Conversion-Uplift (Budget 2026 → neu)</t>
  </si>
  <si>
    <t>Alternative Sicht vs Budgetziel</t>
  </si>
  <si>
    <t>Stationärer Basket-Uplift</t>
  </si>
  <si>
    <t>Nur aktivieren, wenn Attribution belastbar</t>
  </si>
  <si>
    <t>Stationäre Frequenz-Uplift</t>
  </si>
  <si>
    <t>Konservativ default = 0</t>
  </si>
  <si>
    <t>Ersatzteil-Umsatz-Uplift</t>
  </si>
  <si>
    <t>Aus Workshop-Spare-Parts-Revenue ableitbar</t>
  </si>
  <si>
    <t>Brutto kommerzielle Upside p.a.</t>
  </si>
  <si>
    <t>Budget-Alternative in D34 bewusst nicht im Basistotal</t>
  </si>
  <si>
    <t>Konservative kommerzielle Upside p.a.</t>
  </si>
  <si>
    <t>Vor Szenario-Realisierung, aber nach Haircut</t>
  </si>
  <si>
    <t>Effizienz + optionale kommerzielle Upside</t>
  </si>
  <si>
    <t>Optionales Potenzial p.a. inkl. kommerzieller Upside</t>
  </si>
  <si>
    <t>Nur zur Sensitivität</t>
  </si>
  <si>
    <t>Legacy konservativer Nutzen p.a.</t>
  </si>
  <si>
    <t>Aus Altmodell / Landi Working Assumption</t>
  </si>
  <si>
    <t>Delta ausgewählter Basiscase vs Legacy</t>
  </si>
  <si>
    <t>Soll nahe 0 bleiben bei deaktivierter Upside</t>
  </si>
  <si>
    <t>Workshop brutto p.a.</t>
  </si>
  <si>
    <t>Bottom-up Crosscheck</t>
  </si>
  <si>
    <t>Verhältnis Top-down brutto zu Workshop brutto</t>
  </si>
  <si>
    <t>Wert &lt; 100% = Top-down konservativer</t>
  </si>
  <si>
    <t>Szenariobasierter Wertbeitrag, Payback und strategische Einordnung</t>
  </si>
  <si>
    <t>Aus Szenario-Narrativ abgeleitet; editierbar</t>
  </si>
  <si>
    <t>Kommerzielle Hebel brauchen tiefere Integration</t>
  </si>
  <si>
    <t>Steady-state Effizienznutzen p.a.</t>
  </si>
  <si>
    <t>Nur konservativer Effizienznutzen</t>
  </si>
  <si>
    <t>Steady-state kommerzielle Upside p.a.</t>
  </si>
  <si>
    <t>Kommerzielle Upside nur bei aktiviertem Schalter</t>
  </si>
  <si>
    <t>Steady-state Gesamtpotenzial p.a.</t>
  </si>
  <si>
    <t>Steady-state p.a.</t>
  </si>
  <si>
    <t>Ramp-up Faktor Y1</t>
  </si>
  <si>
    <t>Usage-Ramp-up als Benefit-Ramp-up</t>
  </si>
  <si>
    <t>Ramp-up Faktor Y2</t>
  </si>
  <si>
    <t>Ramp-up Faktor Y3</t>
  </si>
  <si>
    <t>Ramp-up Faktor Y4</t>
  </si>
  <si>
    <t>Ramp-up Faktor Y5</t>
  </si>
  <si>
    <t>5Y kumulierter Ramp-up-Faktor</t>
  </si>
  <si>
    <t>5Y Nutzen über Ramp-up</t>
  </si>
  <si>
    <t>Nettoeffekt Jahr 1</t>
  </si>
  <si>
    <t>Payback (Monate, steady state)</t>
  </si>
  <si>
    <t>Vereinfachter steady-state Payback</t>
  </si>
  <si>
    <t>5Y ROI (Netto / TCO)</t>
  </si>
  <si>
    <t>Rang nach 5Y Nettowert</t>
  </si>
  <si>
    <t>Quellen, Annahmen und Modellabgrenzungen</t>
  </si>
  <si>
    <t>Kategorie</t>
  </si>
  <si>
    <t>Quelle / Referenz</t>
  </si>
  <si>
    <t>Einsatz im Modell</t>
  </si>
  <si>
    <t>Copilot Studio Pricing</t>
  </si>
  <si>
    <t>https://www.microsoft.com/microsoft-365/copilot/pricing/copilot-studio</t>
  </si>
  <si>
    <t>Preis pro Copilot Credit / Credit-Logik</t>
  </si>
  <si>
    <t>Öffentliche Microsoft-Seite; tatsächliche Kosten können von Tenant, Kanal und Nutzungsprofil abhängen.</t>
  </si>
  <si>
    <t>Azure OpenAI Pricing</t>
  </si>
  <si>
    <t>https://azure.microsoft.com/pricing/details/cognitive-services/openai-service/</t>
  </si>
  <si>
    <t>Planungsannahmen für Input-/Output-/Embedding-Preise</t>
  </si>
  <si>
    <t>Azure weist darauf hin, dass Preise nach Modell, Region, Vertrag und Deployment-Ansatz variieren.</t>
  </si>
  <si>
    <t>Azure AI Search Pricing</t>
  </si>
  <si>
    <t>https://azure.microsoft.com/en-us/pricing/details/search/</t>
  </si>
  <si>
    <t>Planungsannahmen für Search Units</t>
  </si>
  <si>
    <t>Workbook nutzt editierbare Annahmen statt harter Listenpreise.</t>
  </si>
  <si>
    <t>Azure API Management Pricing</t>
  </si>
  <si>
    <t>https://azure.microsoft.com/pricing/details/api-management/</t>
  </si>
  <si>
    <t>Planungsannahme für Gateway / API-Ebene</t>
  </si>
  <si>
    <t>SKU- und regionsabhängig.</t>
  </si>
  <si>
    <t>Azure Managed Redis Pricing</t>
  </si>
  <si>
    <t>https://azure.microsoft.com/en-us/pricing/details/managed-redis/</t>
  </si>
  <si>
    <t>Referenz für State / Cache / Memory-Layer</t>
  </si>
  <si>
    <t>Nicht direkt im Kostenmodell bepreist, aber als Architekturreferenz relevant.</t>
  </si>
  <si>
    <t>Landi Nutzenannahme</t>
  </si>
  <si>
    <t>User-provided screenshot / Landi MT2023</t>
  </si>
  <si>
    <t>Top-down Referenznutzen (CHF 2.023 Mio. brutto; CHF 1.517 Mio. konservativ)</t>
  </si>
  <si>
    <t>Im Modell bewusst als Referenzspur erhalten.</t>
  </si>
  <si>
    <t>Landi operative Annahmen</t>
  </si>
  <si>
    <t>User-provided screenshot with input parameters</t>
  </si>
  <si>
    <t>Skalierungs-, Prozess- und Umsatztreiber</t>
  </si>
  <si>
    <t>In 02_INPUTS zusammengeführt.</t>
  </si>
  <si>
    <t>Workshop-Schätzung</t>
  </si>
  <si>
    <t>User upload: 2026_03_16_Workshop_Schaetzung_Digitaler_Assistent.xlsx</t>
  </si>
  <si>
    <t>Quantifizierte Workshop-Tasks ergeben rund CHF 2.52 Mio. Bruttonutzen p.a.</t>
  </si>
  <si>
    <t>Modellabgrenzung</t>
  </si>
  <si>
    <t>Planning assumption</t>
  </si>
  <si>
    <t>Open Source und ZenAI sind bewusst parametrisierte Benchmarks</t>
  </si>
  <si>
    <t>Für finale Entscheidungsreife sollten Vendor-Quotes / Cloud-Quotes ergänzt werden.</t>
  </si>
  <si>
    <t>Copilot Studio Connectors</t>
  </si>
  <si>
    <t>https://learn.microsoft.com/en-us/microsoft-copilot-studio/copilot-ai-plugins</t>
  </si>
  <si>
    <t>Einordnung des Integrationsmodells für Copilot Studio</t>
  </si>
  <si>
    <t>Zeigt Einsatz von Standard-, Premium- und Custom-Connectors als Tools.</t>
  </si>
  <si>
    <t>Power Platform On-Prem Gateway</t>
  </si>
  <si>
    <t>https://learn.microsoft.com/en-us/power-platform/admin/wp-onpremises-gateway</t>
  </si>
  <si>
    <t>Annahme für Hybrid-/On-Prem-Integrationsfaktor</t>
  </si>
  <si>
    <t>On-Prem-Anbindung erfordert Gateway-Betrieb, Netzwerk- und Security-Setup; daher Copilot-Systemintegration nicht zu tief angesetzt.</t>
  </si>
  <si>
    <t>Azure Pricing Hinweis</t>
  </si>
  <si>
    <t>https://azure.microsoft.com/en-us/pricing/details/search/ ; https://azure.microsoft.com/pricing/details/api-management/ ; https://azure.microsoft.com/en-us/pricing/details/managed-redis/</t>
  </si>
  <si>
    <t>Azure-Komponenten und OSS-Infrastruktur</t>
  </si>
  <si>
    <t>Azure weist auf region-, vertrag- und FX-abhängige Preise hin; Modell nutzt deshalb editierbare Planungsannahmen.</t>
  </si>
  <si>
    <t>v8 Korrekturen – Stand Mar 2025</t>
  </si>
  <si>
    <t>Azure Pricing Calculator https://azure.microsoft.com/en-us/pricing/calculator/</t>
  </si>
  <si>
    <t>Basis für alle Azure-Komponentenpreise in v8</t>
  </si>
  <si>
    <t>Preise validiert März 2025, Region West Europe, Pay-as-you-go, kein Enterprise Agreement.</t>
  </si>
  <si>
    <t>Azure OpenAI – GPT-4o Preis</t>
  </si>
  <si>
    <t>Token Input Preis CHF 2.25/1M, Output CHF 9.00/1M (GPT-4o Global)</t>
  </si>
  <si>
    <t>USD 2.50/1M Input, USD 10.00/1M Output. Modell nutzt CHF 2.20/8.80 als leichten Puffer bei FX 0.88. GPT-4o ist das primäre Modell für Enterprise-Qualität mit 128K Context.</t>
  </si>
  <si>
    <t>Azure OpenAI – Embeddings</t>
  </si>
  <si>
    <t>text-embedding-3-large CHF 0.117/1M Tokens</t>
  </si>
  <si>
    <t>USD 0.13/1M. Modell nutzt CHF 0.11/1M (leicht günstiger = text-embedding-3-small USD 0.02). Für Enterprise RAG empfohlen: text-embedding-3-large. Preis zu überprüfen.</t>
  </si>
  <si>
    <t>Azure AI Search – S1 Standard</t>
  </si>
  <si>
    <t>S1 Standard 2 Search Units × CHF 245/SU = CHF 490/Monat</t>
  </si>
  <si>
    <t>S1 bietet vollen API-Zugriff (Semantic Ranker, Vector Search, Hybrid). 2 SUs = Minimum für HA. Semantic Ranker: erste 1'000 Queries/Monat gratis, danach USD 1/1'000 Queries ≈ CHF 7/Monat bei 8'652 RAG-Requests/Monat (Y4). Modell nutzt CHF 250/SU = leicht höher als Listenpreis (Regional-/Vertragsaufschlag).</t>
  </si>
  <si>
    <t>Azure API Management – Standard v2</t>
  </si>
  <si>
    <t>Standard v2: USD 700/Monat ≈ CHF 630/Monat → Modell CHF 650/Monat ✓</t>
  </si>
  <si>
    <t>Standard v2 bietet 99.95% SLA, VNet-Integration, unbegrenzte Ops. Consumption Tier wäre viel günstiger (USD 3.50/1M Calls) aber für Enterprise HA nicht geeignet.</t>
  </si>
  <si>
    <t>Azure Container Apps + AKS – Compute</t>
  </si>
  <si>
    <t>https://azure.microsoft.com/pricing/details/kubernetes-service/</t>
  </si>
  <si>
    <t>App/Orchestrierung: CHF 1,200/Monat (Azure Komponenten). OSS: CHF 3,000/Monat</t>
  </si>
  <si>
    <t>Azure: Container Apps Dedicated D4s_v3 für SK-Orchestrierung. Inklusive: Agent Orchestrator, Semantic Kernel, MCP Gateway, MCP Server ×3, Plugin Manager. OSS: AKS 3×D4s_v3 + System Pool + Load Balancer + Dev Container Apps.</t>
  </si>
  <si>
    <t>Azure Cache for Redis – Standard C2</t>
  </si>
  <si>
    <t>https://azure.microsoft.com/pricing/details/cache/</t>
  </si>
  <si>
    <t>Redis C2 Standard (6GB, 2-Node HA) ~USD 200/Monat ≈ CHF 180/Monat</t>
  </si>
  <si>
    <t>Für Agent State Store (Conversation Memory). Standard C2 bietet 6GB, High Availability (2 Nodes), 99.9% SLA. Modell: State/Security/Monitoring CHF 500/Monat inkl. Redis + Log Analytics + CosmosDB + Key Vault.</t>
  </si>
  <si>
    <t>Azure CosmosDB Serverless – Conversation History</t>
  </si>
  <si>
    <t>https://azure.microsoft.com/pricing/details/cosmos-db/serverless/</t>
  </si>
  <si>
    <t>CosmosDB Serverless ~CHF 30/Monat für Conversation History</t>
  </si>
  <si>
    <t>173'048 Interaktionen/Jahr ≈ 475/Tag × ~50 RU/Interaktion = 23'750 RU/Tag = 713'000 RU/Monat × USD 0.282/1M RU = USD 0.20/Monat + Storage 2GB = CHF 30/Monat total. Extrem günstig für diese Interaktionsrate.</t>
  </si>
  <si>
    <t>Azure Monitor / Log Analytics</t>
  </si>
  <si>
    <t>https://azure.microsoft.com/pricing/details/monitor/</t>
  </si>
  <si>
    <t>Log Analytics Analytics Tier USD 2.30/GB → ~CHF 130/Monat für 2GB/Tag</t>
  </si>
  <si>
    <t>2 GB/Tag Logs × 30 = 60 GB/Monat − 5 GB gratis = 55 GB × USD 2.30 = USD 126.50 ≈ CHF 114. Mit Puffer CHF 130/Monat im State/Security Block.</t>
  </si>
  <si>
    <t>Azure Blob Storage – Knowledge Base</t>
  </si>
  <si>
    <t>https://azure.microsoft.com/pricing/details/storage/blobs/</t>
  </si>
  <si>
    <t>Blob Hot Tier 350 GB ≈ CHF 6/Monat (Azure). OSS: CHF 600/Monat (Infra + Storage + Netzwerk)</t>
  </si>
  <si>
    <t>Hot tier USD 0.0184/GB/Monat (West Europe, LRS). OSS-Storage-Block beinhaltet zusätzlich AKS Managed Disks, Backups, Container Registry, Egress.</t>
  </si>
  <si>
    <t>Azure Key Vault – Standard</t>
  </si>
  <si>
    <t>https://azure.microsoft.com/pricing/details/key-vault/</t>
  </si>
  <si>
    <t>Key Vault Standard ~CHF 5/Monat (Secrets + Certificates Ops)</t>
  </si>
  <si>
    <t>USD 0.03/10'000 Operationen. Für Agent-Use-Case ~10'000 Ops/Monat = USD 0.03/Monat. Plus certificate renewals USD 3/renewal × 2/Jahr = USD 0.50/Monat. Total minimal.</t>
  </si>
  <si>
    <t>Copilot Studio – Billing Rates Nov 2025</t>
  </si>
  <si>
    <t>https://learn.microsoft.com/en-us/microsoft-copilot-studio/requirements-messages-management</t>
  </si>
  <si>
    <t>Offizielle Credit-Raten: Classic 1, Generative 2, Agent Action 5, Tenant Grounding 10, Flow Actions 13/100, AI Tools basic/standard/premium 1/15/100 per 10</t>
  </si>
  <si>
    <t>Preis: USD 200/25'000 Credits (Pack) oder USD 0.01/Credit (PAYG). Modell nutzt CHF 0.0088/Credit = USD 200/25'000 × FX 0.88 (leicht konservativer FX-Puffer). Agent Actions sind der dominante Kostentreiber in Multi-Agent-Architekturen.</t>
  </si>
  <si>
    <t>Power Automate Process Plan – Premium Connectors</t>
  </si>
  <si>
    <t>https://www.microsoft.com/en-us/power-platform/products/power-automate/pricing</t>
  </si>
  <si>
    <t>Power Automate Process Plan USD 150/Monat für 5 Flows mit Premium Connectors</t>
  </si>
  <si>
    <t>Benötigt für Copilot-Agent-Flows die auf SAP/PIM/MAM/ERP/CRM zugreifen. Im Modell als Teil der Basis-Plattform CHF 550/Monat (CHF 400 Env + CHF 150 Process Plan). Alternative: Power Automate Premium per User USD 15/User/Monat × 25 Key User = USD 375/Monat.</t>
  </si>
  <si>
    <t>OSS: Azure NC48ads_A100_v4 GPU-Instanz</t>
  </si>
  <si>
    <t>https://azure.microsoft.com/pricing/details/virtual-machines/linux/ (NC A100 v4 Series)</t>
  </si>
  <si>
    <t>CHF 4'800/GPU-Einheit (= 2× NVIDIA A100 40GB) für Llama/Qwen 70B Inferenz</t>
  </si>
  <si>
    <t>NC48ads_A100_v4: USD 7.35/Stunde × 730h = USD 5'366/Monat × FX 0.9 = CHF 4'829 ≈ CHF 4'800. Für 8B-Modelle: NC24ads_A100_v4 (1× A100) = USD 3.68/h = CHF 2'413/Monat. Break-even GPU vs. API: Ca. 100× höheres Interaktionsvolumen nötig als in diesem Modell.</t>
  </si>
  <si>
    <t>OSS: Azure AI Foundry Serverless – Llama 3.3 70B</t>
  </si>
  <si>
    <t>https://azure.microsoft.com/pricing/details/cognitive-services/</t>
  </si>
  <si>
    <t>Llama 3.3 70B Serverless Inference: ~USD 0.77/1M Tokens I+O = CHF 0.69/1M</t>
  </si>
  <si>
    <t>Modell: API-Modell Input/Output CHF 1.35/1M als konservativer Planungswert (Mittelwert Llama/Mistral/mini). Bei API-Betrieb (GPU-Schalter=0) entfallen CHF 24'000-42'000/Monat GPU-Kosten, ersetzt durch CHF ~148/Monat Token-Kosten. Starke Kostenersparnis bei dieser Nutzungsrate.</t>
  </si>
  <si>
    <t>FX-Annahme</t>
  </si>
  <si>
    <t>User-provided FX assumption</t>
  </si>
  <si>
    <t>USD/CHF FX = 0.8 im Modell (Planungswert)</t>
  </si>
  <si>
    <t>Aktueller Marktkurs (Mar 2025): ca. 0.90 USD/CHF. Das Modell nutzt 0.80 als konservativen Planungswert (leicht ungünstiger FX = höhere CHF-Kosten). Bei Vertragsabschluss aktuellen FX überprüfen.</t>
  </si>
  <si>
    <t>OSS: Break-Even API vs. Self-Hosting</t>
  </si>
  <si>
    <t>https://medium.com/artefact-engineering-and-data-science/llms-deployment-a-practical-cost-analysis-e0c1b8eb08ca</t>
  </si>
  <si>
    <t>Break-Even GPU-Selbstbetrieb erst ab &gt;8'000 Gesprächen/Tag</t>
  </si>
  <si>
    <t>Dieses Modell: 475 Gespräche/Tag (Y4) – weit unter Break-Even. API-Betrieb ist für diese Nutzungsrate klar günstiger als GPU-Hosting.</t>
  </si>
  <si>
    <t>OSS: Llama 3.3 70B API-Marktpreise</t>
  </si>
  <si>
    <t>https://artificialanalysis.ai/models/llama-3-3-instruct-70b/providers</t>
  </si>
  <si>
    <t>Preisvergleich 20 Provider: Groq $0.59/$0.79, Azure ~$0.77-2.68, DeepInfra $0.15</t>
  </si>
  <si>
    <t>Modell nutzt CHF 1.35/1M als konservativen Enterprise-Wert (Azure AI Foundry Serverless). Groq wäre günstiger (CHF 0.53), hat aber keine EU-Data-Residency-Garantie.</t>
  </si>
  <si>
    <t>OSS: Azure Container Apps für Orchestrierung</t>
  </si>
  <si>
    <t>https://itnext.io/fast-private-and-cheap-running-open-source-llm-inference-on-azure-at-scale-0586447bcbb4</t>
  </si>
  <si>
    <t>Azure Container Apps Serverless als kostengünstige Orchestrierungs-Plattform</t>
  </si>
  <si>
    <t>Für API-basiertes OSS: Container Apps (Consumption Plan) statt AKS GPU-Cluster. Kostet CHF ~200-250/Monat statt CHF 3,000 (AKS GPU-Pool). Kein GPU-Management, kein CUDA-Stack, kein Inference-Server.</t>
  </si>
  <si>
    <t>OSS: FTE-Reduktion bei API-basiertem Betrieb</t>
  </si>
  <si>
    <t>https://aisuperior.com/open-source-llm-deployment-cost/</t>
  </si>
  <si>
    <t>GPU-Betrieb erfordert spezialisierte ML Engineers; API-Betrieb reduziert FTE-Bedarf</t>
  </si>
  <si>
    <t>Selbst gehostete LLMs: ML-Engineers für GPU-Scheduling, vLLM-Tuning, CUDA-Updates nötig. API-basiert: Standard DevOps + Backend-Engineer ausreichend. OSS Platform FTE: 1.5 → 0.7 FTE (korrigiert für API-Modus).</t>
  </si>
  <si>
    <t>GPT-5.1 Switzerland North Bestätigung</t>
  </si>
  <si>
    <t>https://learn.microsoft.com/en-us/answers/questions/5566802/azure-openai-gpt-5-response-api</t>
  </si>
  <si>
    <t>Chat Completions API für GPT-5.1 in Switzerland North bestätigt (Apr 2026). Responses API noch nicht in CH.</t>
  </si>
  <si>
    <t>Kritisch für Azure Szenario. Quota-Request via Azure Portal nötig (gated access).</t>
  </si>
  <si>
    <t>GPT-5.1 Pricing (cloudprice.net)</t>
  </si>
  <si>
    <t>https://cloudprice.net/models/azure/gpt-5.1</t>
  </si>
  <si>
    <t>GPT-5.1 Standard: USD 1.25/1M Input, USD 10.00/1M Output. Context 272K Tokens. CH North PAYG.</t>
  </si>
  <si>
    <t>CHF 1.00/1M Input, CHF 8.00/1M Output (FX 0.80). Günstiger als GPT-4o Input.</t>
  </si>
  <si>
    <t>GCP Cloud Run Pricing</t>
  </si>
  <si>
    <t>https://cloud.google.com/run/pricing</t>
  </si>
  <si>
    <t>USD 0.000024/vCPU-Sekunde. Erste 2M Requests/Monat gratis. Skaliert auf null.</t>
  </si>
  <si>
    <t>Basis für GCP Custom Szenario Compute. CHF ~150/Mo bei Landi-Nutzungsvolumen.</t>
  </si>
  <si>
    <t>Vertex AI Search Preiskorrektur</t>
  </si>
  <si>
    <t>https://cloud.google.com/vertex-ai/pricing</t>
  </si>
  <si>
    <t>Vertex AI Search Enterprise: $4.00/1'000 Queries. 103'829 RAG-Queries/Jahr (Y4) = $415/Jahr = CHF 28/Monat.</t>
  </si>
  <si>
    <t>V10 zeigte fälschlicherweise $670/Monat. Korrekt: $34.6/Monat × FX 0.80 = CHF 28/Monat.</t>
  </si>
  <si>
    <t>Gemini 3.1 Pro/Flash Pricing (Vertex AI)</t>
  </si>
  <si>
    <t>https://cloud.google.com/vertex-ai/generative-ai/pricing</t>
  </si>
  <si>
    <t>Gemini Pro: ~USD 1.25/1M Input. Flash: ~USD 0.075/1M. Blended (70/30): CHF 0.38/1M Input, CHF 1.54/1M Output.</t>
  </si>
  <si>
    <t>GCP Vertex: Input CHF 0.40, Output CHF 1.60. GCP Custom: Input CHF 0.34, Output CHF 1.36.</t>
  </si>
  <si>
    <t>Google ADK (Agent Development Kit)</t>
  </si>
  <si>
    <t>https://google.github.io/adk-docs/</t>
  </si>
  <si>
    <t>Google ADK: Open-Source Agent Framework (Python). Deployt auf Cloud Run. MCP + A2A Support.</t>
  </si>
  <si>
    <t>GCP Custom Orchestrierungsstack. Kein Vendor-Lizenzkosten. Multi-Agent + Tool-Calling.</t>
  </si>
  <si>
    <t>Firestore Vector Search Pricing</t>
  </si>
  <si>
    <t>https://firebase.google.com/pricing</t>
  </si>
  <si>
    <t>Firestore: USD 0.06/100K Reads. Bei 103'829 Queries × 10 Reads/Query = 1.04M Reads/Jahr = USD 0.62/Jahr.</t>
  </si>
  <si>
    <t>Ersetzt Vertex AI Search in GCP Custom. Eliminiert $415/Jahr Suchkosten → nahezu gratis.</t>
  </si>
  <si>
    <t>100% Generative Annahme (confirmed)</t>
  </si>
  <si>
    <t>Landi Workshop-Entscheid April 2026</t>
  </si>
  <si>
    <t>Alle Use Cases (inkl. Garantie prüfen via ERP) generativ. Anteil generativ Copilot: 0.85 → 1.0. Agent Actions: 2.5 → 3.5.</t>
  </si>
  <si>
    <t>Impact Copilot: Credits/Interaktion ~14.5 → ~19.65 (+35%). Bei 173K Interaktionen Y4 = +CHF 9K/Jahr Modell-OPEX.</t>
  </si>
  <si>
    <t>Input Parameter</t>
  </si>
  <si>
    <t>Element</t>
  </si>
  <si>
    <t>Bemerkungen</t>
  </si>
  <si>
    <t>Points-of-Sale &amp; Mitarbeiter</t>
  </si>
  <si>
    <t>Konzeptläden XS-XL, Ohne Depot Läden (72 Stück)</t>
  </si>
  <si>
    <t>XS = 2, XL=4</t>
  </si>
  <si>
    <t>Totale Anzahl Service-Mitarbeitende</t>
  </si>
  <si>
    <t>Durchschnitts Personalkosten Servicepersonal in CHF/Stunde</t>
  </si>
  <si>
    <t>Anzahl Öffnungsstunden PoS/Woche</t>
  </si>
  <si>
    <t>Anhand Beispiel Landi Mönchaltorf</t>
  </si>
  <si>
    <t>Anzahl Öffnungsstunden PoS/Montag</t>
  </si>
  <si>
    <t>Anzahl Öffnungsstunden PoS/Dienstag</t>
  </si>
  <si>
    <t>Anzahl Öffnungsstunden PoS/Mittwoch</t>
  </si>
  <si>
    <t>Anzahl Öffnungsstunden PoS/Donnerstag</t>
  </si>
  <si>
    <t>Anzahl Öffnungsstunden PoS/Freitag</t>
  </si>
  <si>
    <t xml:space="preserve">Anzahl Öffnungsstunden PoS/Samstag </t>
  </si>
  <si>
    <t>Anzahl Arbeitstage PoS/Jahr</t>
  </si>
  <si>
    <t>52 Wochen x 6 Tage/Woche</t>
  </si>
  <si>
    <t>Anzahl Tage mit reduzierten Öffnungszeiten PoS</t>
  </si>
  <si>
    <t>Anzahl Stunden reduzierte Öfnungszeit PoS/Tag</t>
  </si>
  <si>
    <t>Anzahl Tage geschlossen PoS/Jahr</t>
  </si>
  <si>
    <t>Adoptionsrate</t>
  </si>
  <si>
    <t>Adoptionsrate des digitalen Assistenten bei den Mitarbeitenden in %</t>
  </si>
  <si>
    <t>Verteilt über 2 Jahre (ambitioniert aber machbar)</t>
  </si>
  <si>
    <t>Adoptionsrate Landi Laden MA</t>
  </si>
  <si>
    <t>70% - 100%</t>
  </si>
  <si>
    <t>variert stark je nach Aufgabe. Muss ev. auch enforced werden</t>
  </si>
  <si>
    <t>Adoptionsrate Landi CH MA</t>
  </si>
  <si>
    <t>95% - 100%</t>
  </si>
  <si>
    <t>Treffsicherheit</t>
  </si>
  <si>
    <t>Treffsicherheit des digitalen Assistenten in %</t>
  </si>
  <si>
    <t>95-100</t>
  </si>
  <si>
    <t>Check mit KI Spezialisten wo die Grenzen liegen für die Akzeptanz durch die Mitarbeitenden</t>
  </si>
  <si>
    <t>Zeithorizont</t>
  </si>
  <si>
    <t>Zeithorizont in Jahre</t>
  </si>
  <si>
    <t>Ende 2026 Umsetzung fertig. Ab 2027 Rollout. Case rechnen bis Ende 2030</t>
  </si>
  <si>
    <t>Service</t>
  </si>
  <si>
    <t>Schriftliche Anfragen und Service-Aufträge pro PoS pro Jahr</t>
  </si>
  <si>
    <t>1’399</t>
  </si>
  <si>
    <t>Schriftliche Anfragen pro PoS pro Jahr</t>
  </si>
  <si>
    <t>1’056</t>
  </si>
  <si>
    <t>Anzahl PoS welche einen Service Auftrag eröffnen</t>
  </si>
  <si>
    <t>Quelle: Qliksense Basis 2025 (200 Pos &gt;100 SA/Jahr)</t>
  </si>
  <si>
    <t>Service-Aufträge pro PoS pro Jahr</t>
  </si>
  <si>
    <t>Total SA/Total Anz. PoS mit SA</t>
  </si>
  <si>
    <t>203’875</t>
  </si>
  <si>
    <t>66’225</t>
  </si>
  <si>
    <t>40% kommen retour, 60% werden an der Front gutgeschrieben</t>
  </si>
  <si>
    <t>Gutschriften im Service Center</t>
  </si>
  <si>
    <t>15’535</t>
  </si>
  <si>
    <t>50’690</t>
  </si>
  <si>
    <t xml:space="preserve">31% (50'690) können repariert und retourniert werden. Bei den übrigen 15'535 muss ein Gutschrift erfolgen, weil kein Ersatzteil, nicht reparierbar, totalschaden, etc. </t>
  </si>
  <si>
    <t>Ziel Wert Einsparung unnötiger Service-Aufträge, in % vom Gesamtanzahl der retournierten Service-Aufträge</t>
  </si>
  <si>
    <t>20% von den 52'468 könnten direkt am PoS gelöst werden und müssten nicht eingeschickt werden</t>
  </si>
  <si>
    <t>Durchschnittliche Bearbeitungsdauer pro Service-Auftrag, in Minuten</t>
  </si>
  <si>
    <t>Durchschnittliche Bearbeitungsdauer pro unnötiger Service-Auftrag, in Minuten</t>
  </si>
  <si>
    <t>Zeitersparnis</t>
  </si>
  <si>
    <t>Zeitersparnis pro Anfrage in %</t>
  </si>
  <si>
    <t>Schätzung/Ziel.</t>
  </si>
  <si>
    <t>Zeitersparnis pro Service-Auftrag in Minuten</t>
  </si>
  <si>
    <t>Bezieht sich auf die 66'225 Service-Aufträge</t>
  </si>
  <si>
    <t>Kunden &amp; Umsatz</t>
  </si>
  <si>
    <t>Durchschnittsumsatz online Einkauf in CHF</t>
  </si>
  <si>
    <t>Basis 2025 (Quelle: Eco Report Q1 2026)</t>
  </si>
  <si>
    <t>20’790’000</t>
  </si>
  <si>
    <t>Budget / Ziele 2026 Durchschnittsumsatz online Einkauf in CHF</t>
  </si>
  <si>
    <t>Budget 2026 (Quelle: Eco Report Q1 2026)</t>
  </si>
  <si>
    <t>= Budget / Ziele 2026 online Umsatz in CHF</t>
  </si>
  <si>
    <t>23’707’400</t>
  </si>
  <si>
    <t>Durchschnittsumsatz pro PoS pro Einkauf in CHF</t>
  </si>
  <si>
    <t>Basis 2025 (Quelle: LANDI Treuhand)</t>
  </si>
  <si>
    <t>Durchschnittsumsatz pro PoS im Jahr in CHF</t>
  </si>
  <si>
    <t>5’954’000</t>
  </si>
  <si>
    <t>Totalumsatz aller PoS im Jahr, in CHF</t>
  </si>
  <si>
    <t>1’149’122’000</t>
  </si>
  <si>
    <t>Durchschnittliche Marge Abgabe an Landi CH, in %</t>
  </si>
  <si>
    <t xml:space="preserve">Durchschnittliche Anzahl Kunden pro PoS im Jahr </t>
  </si>
  <si>
    <t>157’000</t>
  </si>
  <si>
    <t>Anzahl Kunden pro Tag</t>
  </si>
  <si>
    <t>Anzahl Einkäufe pro Kunde pro Jahr</t>
  </si>
  <si>
    <t>??</t>
  </si>
  <si>
    <t>Steigerung des Einkaufsvolumen in %, pro Einkauf</t>
  </si>
  <si>
    <t>Steigerung Einkaufsfrequenz in %, pro Jahr</t>
  </si>
  <si>
    <t>Umsatzsteigerung Ersatzteile in %, pro Jahr</t>
  </si>
  <si>
    <t>Gutschriften</t>
  </si>
  <si>
    <t>Totale Anzahl Direktgutschriften pro Jahr</t>
  </si>
  <si>
    <t>100’827</t>
  </si>
  <si>
    <t>Quelle: Qliksense Basis 2025</t>
  </si>
  <si>
    <t>Totales Volumen Direktgutschriften pro Jahr in CHF</t>
  </si>
  <si>
    <t>2’771’783</t>
  </si>
  <si>
    <t>Durchschnittliches Direktgutschriftvolumen, in CHF</t>
  </si>
  <si>
    <t>Verhältnis Direktgutschrift vs. Einsenden, ratio in %</t>
  </si>
  <si>
    <t>60/40</t>
  </si>
  <si>
    <t>Basis 2025</t>
  </si>
  <si>
    <t>Ersatzteile</t>
  </si>
  <si>
    <t>Total Umsatz (AP) Ersatzteile pro Jahr</t>
  </si>
  <si>
    <t>2’106’028</t>
  </si>
  <si>
    <t>Total Absatz Ersatzteile pro Jahr</t>
  </si>
  <si>
    <t>347’012</t>
  </si>
  <si>
    <t>Absatz Ersatzteile via Service Aufträge pro Jahr</t>
  </si>
  <si>
    <t>110’138</t>
  </si>
  <si>
    <t>Via Liefer-Tour ausgelieferte Ersatzteile an LANDI Läden pro Jahr</t>
  </si>
  <si>
    <t>165’553</t>
  </si>
  <si>
    <t>Via Post versendete Ersatzteile an LANDI Läden pro Jahr</t>
  </si>
  <si>
    <t>71’321</t>
  </si>
  <si>
    <t>Quelle: Controlling Rüstauftrag_Postversand &amp; WAETSC_2026, Basisi 2025</t>
  </si>
  <si>
    <t>Durchschnittlicher Abgabepreis eines Ersatzteiles, in CHF</t>
  </si>
  <si>
    <t>Total Umsatz (AP) Ersatzteile pro Jahr / Total Absatz Ersatzteile pro Jahr</t>
  </si>
  <si>
    <t>Durchschnittliche Anzahl Ersatzteile pro Service Auftrag</t>
  </si>
  <si>
    <t>Durschnittliche Einkaufspreis eines Ersatzteiles, in CHF bei einem Serive Auftrag</t>
  </si>
  <si>
    <t>Total Wert ausgelieferte Menge ET / Total Anzahl ausgelieferte ET, Basis 2025 Quelle: B4LCH Export_Prduom</t>
  </si>
  <si>
    <t>Durchschnittliche Ersatzteilwert pro Service-Auftrag, in CHF</t>
  </si>
  <si>
    <t>Einkaufspreis</t>
  </si>
  <si>
    <t>Schätzung zusätzliche Ersatzteilverkäufe durch bessere Diagnose</t>
  </si>
  <si>
    <t>Annahme: 10 % mehr Ersatzteilverkäufe an Endkunden</t>
  </si>
  <si>
    <t>Schätzung Nutzen (Gewinn pro Ersatzteilverkauf)</t>
  </si>
  <si>
    <t>1.5 Chf</t>
  </si>
  <si>
    <t>Annahme: Im Schnitt 6.- pro Ersatzteil, darauf 25% Marge</t>
  </si>
  <si>
    <t>Versand</t>
  </si>
  <si>
    <t>Versandkosten Postversand Ersatzteile von Landi CH zum PoS, pro Service-Auftrag, in CHF</t>
  </si>
  <si>
    <t>Basis Dez25 - Feb 26 (Quelle: Controlling "WAP_SC_Kosten_2026)</t>
  </si>
  <si>
    <t>Durschnittliche Kosten pro Versand eines Ersatzteiles, in CHF</t>
  </si>
  <si>
    <t>Versantkosten / Ø Ersatzteile pro SA.Möglicher Wert wäre auch Total Post Positionen / Total Post Lieferungen</t>
  </si>
  <si>
    <t>Anzahl Versendete Postsendungen mit ET an PoS pro Jahr</t>
  </si>
  <si>
    <t>26’417</t>
  </si>
  <si>
    <t>Normale ET Bestellungen (Quelle: Controlling Post und Werkstatt Kommissionierung Basis 2025)</t>
  </si>
  <si>
    <t>Anzahl versendete ET an PoS pro Jahr</t>
  </si>
  <si>
    <t>71’327</t>
  </si>
  <si>
    <t>Durchschnittliche Anzahl ET pro Postsendung</t>
  </si>
  <si>
    <t>Normale ET Bestellungen</t>
  </si>
  <si>
    <t xml:space="preserve">Landi.ch </t>
  </si>
  <si>
    <t>Sitzungen landi.ch</t>
  </si>
  <si>
    <t>25’720’000</t>
  </si>
  <si>
    <t>Budget / Ziele 2026 Sitzungen landi.ch</t>
  </si>
  <si>
    <t>28’250’000</t>
  </si>
  <si>
    <t>Traffic pro Arbeitstag</t>
  </si>
  <si>
    <t>70’466</t>
  </si>
  <si>
    <t>Budget / Ziele 2026 Traffic pro Arbeitstag</t>
  </si>
  <si>
    <t>77’397</t>
  </si>
  <si>
    <t>Conversion Rate aktuell, in Prozent</t>
  </si>
  <si>
    <t>Basis 2025 (Quelle: Eco Report Q1 2026) Überprüfen der aktuellen Conversion Rate von Anzahl Impressions zu effektiven Bestellungen</t>
  </si>
  <si>
    <t>Budget / Ziele 2026 Conversion Rate, in Prozent</t>
  </si>
  <si>
    <t>201’750</t>
  </si>
  <si>
    <t>=Budget / Ziele 2026 Anz. Bestellungen</t>
  </si>
  <si>
    <t>226’000</t>
  </si>
  <si>
    <t>Conversion Rate neu, in Prozent</t>
  </si>
  <si>
    <t>Gemäss Berechnung Arbeitsblatt CvR iAdvize auf Basis der Prognose/Budget 2026</t>
  </si>
  <si>
    <t>Landi Laden MA</t>
  </si>
  <si>
    <t>Anzahl Produktidentifikation pro Tag</t>
  </si>
  <si>
    <t>500’000</t>
  </si>
  <si>
    <t>Annahme: 10 Fälle pro Tag pro Laden</t>
  </si>
  <si>
    <t>Anzahl Ersatzteilidentifikation pro Tag</t>
  </si>
  <si>
    <t>5’000</t>
  </si>
  <si>
    <t>Annahme: 1 von 10 Fällen pro Produktanfrage</t>
  </si>
  <si>
    <t>Adoptionsrate (Landi CH)</t>
  </si>
  <si>
    <t>Adoptionsrate (Landi Laden)</t>
  </si>
  <si>
    <t>Erfolgsquote KI</t>
  </si>
  <si>
    <t>KI-genutzte Cases (Landi CH) p.a.</t>
  </si>
  <si>
    <t>Erfolgreiche Cases (Landi CH) p.a.</t>
  </si>
  <si>
    <t>Erfolgreiche Cases (Landi Laden) p.a.</t>
  </si>
  <si>
    <t>KI-genutzte Cases (Landi Laden)</t>
  </si>
  <si>
    <t>Zeitaufwand heute (min)</t>
  </si>
  <si>
    <t>Zeitaufwand mit AI (min)</t>
  </si>
  <si>
    <t>Eingesparte Zeit (min)</t>
  </si>
  <si>
    <t>Kosten pro Minute Landi CH (CHF)</t>
  </si>
  <si>
    <t>Kosten pro Minute Landi Laden (CHF)</t>
  </si>
  <si>
    <t>Arbeitsnutzen p.a. Landi CH (CHF)</t>
  </si>
  <si>
    <t>Arbeitsnutzen p.a. Landi Laden (CHF)</t>
  </si>
  <si>
    <t>Vermiedene Serviceaufträge / Jahr</t>
  </si>
  <si>
    <t>Kosten pro Serviceauftrag (CHF)</t>
  </si>
  <si>
    <t>Nutzen vermiedene Serviceaufträge (CHF)</t>
  </si>
  <si>
    <t>Vermiedene Direktgutschriften / Jahr</t>
  </si>
  <si>
    <t>Kosten pro Direktgutschrift (CHF)</t>
  </si>
  <si>
    <t>Nutzen vermiedene Direktgutschriften (CHF)</t>
  </si>
  <si>
    <t>Zusätzlicher Deckungsbeitrag p.a. (CHF)</t>
  </si>
  <si>
    <t>Zusätzliche Ersatzteilverkäufe / Jahr</t>
  </si>
  <si>
    <t>Nutzen pro Ersatzteilverkauf (CHF)</t>
  </si>
  <si>
    <t>Nutzen zusätzliche Ersatzteilverkäufe (CHF)</t>
  </si>
  <si>
    <t>Gesamt-Bruttonutzen p.a. (CHF)</t>
  </si>
  <si>
    <t>Task &amp; Business Context</t>
  </si>
  <si>
    <t>Volumen / Zeit / Arbeitsnutzen (Nutzen durch schnellere Ausführung)</t>
  </si>
  <si>
    <t>Outcome-basierter Nutzen (Nutzen durch vermiedene unnötige Service-Arbeiten oder Zusatzumsatz)</t>
  </si>
  <si>
    <t>Landi CH-Bruttonutzen p.a. (CHF)</t>
  </si>
  <si>
    <t>Landi Laden-Bruttonutzen p.a. (CHF)</t>
  </si>
  <si>
    <t>Interpretation: Der Bottom-up Workshop ergibt rund CHF 2.52 Mio. Bruttonutzen p.a. für die quantifizierten Tasks für die Landi CH und die Landi Läden. Die Landi CH liegt mit einem geschätzten Nutzen von 1.42 Mio. genau im selben Bereich wie die Top-down_Schätzung. Die Legacy-Annahme von CHF 1.52 Mio. p.a. (75% Wirkung) ist daher realistisch.</t>
  </si>
  <si>
    <t>PHASE 1 – PoC  (Proof of Concept)</t>
  </si>
  <si>
    <t>Aufgabe / Deliverable</t>
  </si>
  <si>
    <t>Total
PT</t>
  </si>
  <si>
    <t>Ext. Kosten
CHF</t>
  </si>
  <si>
    <t>UC1: Produkt identifizieren</t>
  </si>
  <si>
    <t>UC2: Produktinfos bereitstellen</t>
  </si>
  <si>
    <t xml:space="preserve">  RAGAS-Metriken, SME-Review, Gap-Liste</t>
  </si>
  <si>
    <t>PHASE TOTAL</t>
  </si>
  <si>
    <t>Externe PT: 56 PT  ·  Ext. Kosten CHF 2'000/PT: CHF 112,000  ·  SME intern: 17 PT  ·  Total PT: 73 PT</t>
  </si>
  <si>
    <t>PHASE 2 – MVP  (Minimum Viable Product)</t>
  </si>
  <si>
    <t>Ziel: Alle 8 Use Cases produktionsreif in 14–18 Wochen. 6 Live-Integrationen (PIM, MAM, ERP, Agronet, Odoo, SharePoint). Security-Audit, End-to-End-Testing, Rollout auf 600 Nutzer.</t>
  </si>
  <si>
    <t>Architektur &amp; Security Design</t>
  </si>
  <si>
    <t xml:space="preserve">  CH-Residenz, IAM, Netzwerk, Audit-Log</t>
  </si>
  <si>
    <t>Integration: PIM – Elytra (Produktdaten)</t>
  </si>
  <si>
    <t>Integration: MAM – SixOMC (Assets/Bilder)</t>
  </si>
  <si>
    <t>Integration: ERP – B4LCH (Garantie/Auftr.)</t>
  </si>
  <si>
    <t>Integration: Agronet (Middleware)</t>
  </si>
  <si>
    <t>Integration: Odoo (Endkundenstamm)</t>
  </si>
  <si>
    <t>Integration: SharePoint (erweitert)</t>
  </si>
  <si>
    <t>UC3: Diagnose durchführen</t>
  </si>
  <si>
    <t>UC4: Handlungsoptionen empfehlen</t>
  </si>
  <si>
    <t>UC5: Ersatzteil identifizieren</t>
  </si>
  <si>
    <t>UC6: Garantie prüfen (ERP Live)</t>
  </si>
  <si>
    <t>UC7: Anfrage (Case) vorbereiten</t>
  </si>
  <si>
    <t>UC8: Dokumentation optimieren</t>
  </si>
  <si>
    <t>Security Audit &amp; Compliance Abnahme</t>
  </si>
  <si>
    <t>E2E-Testing &amp; Evaluation (alle 8 UCs)</t>
  </si>
  <si>
    <t>Rollout &amp; Training (600 Nutzer)</t>
  </si>
  <si>
    <t>PMO / Steuerung / Risikomanagement</t>
  </si>
  <si>
    <t>Externe PT: 162 PT  ·  Ext. Kosten CHF 2'000/PT: CHF 324,000  ·  SME intern: 39 PT  ·  Total PT: 201 PT</t>
  </si>
  <si>
    <t>Szenario-Aufschläge auf externe PT</t>
  </si>
  <si>
    <t>Aufschlag ext. PT</t>
  </si>
  <si>
    <t>Begründung</t>
  </si>
  <si>
    <t>① Copilot Studio</t>
  </si>
  <si>
    <t>–15%</t>
  </si>
  <si>
    <t>② GCP Vertex AI</t>
  </si>
  <si>
    <t>±0%</t>
  </si>
  <si>
    <t>Basis-Kalkulation gilt direkt.</t>
  </si>
  <si>
    <t>③ Azure GPT-5.1</t>
  </si>
  <si>
    <t>+15%</t>
  </si>
  <si>
    <t>④ OSS Azure (Llama 4)</t>
  </si>
  <si>
    <t>+20%</t>
  </si>
  <si>
    <t>Zusätzlich Modell-Evaluation, OSS-Stack-Integration.</t>
  </si>
  <si>
    <t>+10%</t>
  </si>
  <si>
    <t>ADK noch jung; Firestore-Vektor-Setup extra.</t>
  </si>
  <si>
    <t>Basis-Plattform / Monat (paketiert / OSS)</t>
  </si>
  <si>
    <t>Copilot: CHF 550/Mt (Power Platform). Azure: 0. OSS: 0.</t>
  </si>
  <si>
    <t xml:space="preserve">  Token Input-Preis (CHF / 1 Mio. Tokens)</t>
  </si>
  <si>
    <t>Credits →</t>
  </si>
  <si>
    <t xml:space="preserve">  Token Output-Preis (CHF / 1 Mio. Tokens)</t>
  </si>
  <si>
    <t>← gilt für alle Szenarien</t>
  </si>
  <si>
    <t>Ø Copilot Credits / Interaktion</t>
  </si>
  <si>
    <t>Copilot Credit-Preis (CHF / Credit, Capacity Pack)</t>
  </si>
  <si>
    <t>USD 200 / 25'000 Credits × FX 0.80. PAYG = CHF 0.008.</t>
  </si>
  <si>
    <t>Plattform &amp; Infrastruktur (montalich, fix)</t>
  </si>
  <si>
    <t>Suche / RAG (Vector Search)</t>
  </si>
  <si>
    <t>Copilot: in Credits enthalten. GCP-V: Vertex AI Search ($4/1K, 103K Queries/Jahr). Azure: AI Search S1 2 SU. OSS: AI Search S1 1 SU. GCP-C: Firestore (nahezu gratis).</t>
  </si>
  <si>
    <t>API Gateway / Orchestrierung / Compute</t>
  </si>
  <si>
    <t>Sessions / Dialogflow</t>
  </si>
  <si>
    <t>—</t>
  </si>
  <si>
    <t>GCP Vertex: Dialogflow CX $0.007/Session × 18'000 = ~CHF 120/Monat.</t>
  </si>
  <si>
    <t>State / Session Cache (Redis/Memorystore)</t>
  </si>
  <si>
    <t>Azure: Redis C2 (6GB HA) CHF 180. OSS: Redis C1 (1GB) CHF 90. GCP Custom: Memorystore Basic CHF 40.</t>
  </si>
  <si>
    <t>Datenbank (Conversation History / State)</t>
  </si>
  <si>
    <t>Azure &amp; OSS: CosmosDB Serverless ~CHF 30. GCP Custom: Firestore CHF 20.</t>
  </si>
  <si>
    <t>Monitoring / Logging</t>
  </si>
  <si>
    <t>Azure: Log Analytics ~55GB/Mt × $2.30/GB = CHF 130. GCP: Cloud Logging CHF 20. OSS: Log Analytics CHF 70.</t>
  </si>
  <si>
    <t>Storage (Dokumente, Backups, Registry)</t>
  </si>
  <si>
    <t>Azure: Blob Hot 350GB = CHF 6 + Container Registry CHF 5 + Backups CHF 5. GCP: Cloud Storage CHF 15.</t>
  </si>
  <si>
    <t>Secrets / Key Management</t>
  </si>
  <si>
    <t>Azure: Key Vault Standard CHF 5.</t>
  </si>
  <si>
    <t>Security / DDoS (Cloud Armor / API Shield)</t>
  </si>
  <si>
    <t>GCP: Cloud Armor CHF 10.</t>
  </si>
  <si>
    <t>Custom Connector Hosting (für MAM/Agronet)</t>
  </si>
  <si>
    <t>Copilot: SixOMC MAM &amp; Agronet nicht als Standard-Power-Platform-Connector verfügbar.</t>
  </si>
  <si>
    <t>Contingency (10–12%)</t>
  </si>
  <si>
    <t>Puffer für Preisänderungen, Lastspitzen, unvorhergesehene Kosten.</t>
  </si>
  <si>
    <t>Copilot: Azure: APIM CHF 650 + Container Apps CHF 1'200. OSS: Container Apps CHF 450. GCP: Cloud Run ~CHF 150.</t>
  </si>
  <si>
    <t>Externer Support / Managed Service</t>
  </si>
  <si>
    <t>Copilot/Azure: MS Support Plan. GCP: Google Support. OSS: Azure Dev Support + Community-Budget.</t>
  </si>
  <si>
    <t xml:space="preserve">5 Szenarien: Copilot (100% generativ), Azure Komponenten (GPT-5.1 CH North), Open Source Azure, GCP Vertex AI, GCP Custom. 100% generative Antworten. </t>
  </si>
  <si>
    <t>P1 Ground Truth &amp; Kalibrierung</t>
  </si>
  <si>
    <t>P2 Detaildesign &amp; Datenvorbereitung</t>
  </si>
  <si>
    <t>P3 Runtime &amp; Basisplattform</t>
  </si>
  <si>
    <t>P4 Agenten-Implementierung</t>
  </si>
  <si>
    <t>P5 Validierung &amp; Tuning</t>
  </si>
  <si>
    <t>P6 Abschluss &amp; MVP-Entscheid</t>
  </si>
  <si>
    <t>Projektleitung / Delivery Lead</t>
  </si>
  <si>
    <t>Fachlead / Product Owner Landi</t>
  </si>
  <si>
    <t>Key User / SMEs Landi</t>
  </si>
  <si>
    <t>Solution Architect / Lead Engineer</t>
  </si>
  <si>
    <t>AI Engineer / Data Scientist</t>
  </si>
  <si>
    <t>Data Engineer</t>
  </si>
  <si>
    <t>Business Analyst / Quality Assurance</t>
  </si>
  <si>
    <t>Phase_ID</t>
  </si>
  <si>
    <t>Phase</t>
  </si>
  <si>
    <t>Rolle</t>
  </si>
  <si>
    <t>Owner</t>
  </si>
  <si>
    <t>PT_in_Phase</t>
  </si>
  <si>
    <t>Wochen</t>
  </si>
  <si>
    <t>Phasenfokus</t>
  </si>
  <si>
    <t>Rollenfokus_in_Phase</t>
  </si>
  <si>
    <t>Exakte_Deliverables</t>
  </si>
  <si>
    <t>Abnahmekriterium</t>
  </si>
  <si>
    <t>P1</t>
  </si>
  <si>
    <t>Ground Truth &amp; Kalibrierung</t>
  </si>
  <si>
    <t>Zuehlke</t>
  </si>
  <si>
    <t>W1, W2</t>
  </si>
  <si>
    <t>Ground Truth erheben, labeln, konsolidieren und Abnahmekriterien fixieren</t>
  </si>
  <si>
    <t>Evaluationslogik fuer Agenten-/LLM-Outputs und Output-Schema frueh definieren</t>
  </si>
  <si>
    <t>Vorschlag fuer Ergebnis-Schema; erste Bewertungsmetriken (Trefferquote, Regelverstoss, Erklaerbarkeit); Auswertungskriterien fuer den PoC</t>
  </si>
  <si>
    <t>Output-Schema und Messlogik abgestimmt</t>
  </si>
  <si>
    <t>W1</t>
  </si>
  <si>
    <t>Technische Erfassungs- und Review-Mechanik fuer Annotation und spaeteres Logging vorbereiten</t>
  </si>
  <si>
    <t>Skizze fuer Review-/Annotation-Workflow; Logging-Anforderungen; technische Liste benoetigter Plattform-Bausteine</t>
  </si>
  <si>
    <t>Technische Review-/Logging-Anforderungen abgestimmt</t>
  </si>
  <si>
    <t>Falltemplate, Annotationstemplates und Entscheidungspfad aus Business-Sicht strukturieren</t>
  </si>
  <si>
    <t>Falltemplate; Annotation-Template; Entscheidungsbaum fuer Referenzfaelle; offener Fragenkatalog</t>
  </si>
  <si>
    <t>Templates von Fachlead und SMEs akzeptiert</t>
  </si>
  <si>
    <t>Datenstichprobe und Verfuegbarkeit der fuer die Ground Truth benoetigten Attribute absichern</t>
  </si>
  <si>
    <t>Sample-Export; Attributinventar; Verfuegbarkeits- und Vollstaendigkeitsuebersicht; erste Datenqualitaetsnotizen</t>
  </si>
  <si>
    <t>Benötigte Felder fuer Referenzfallset verifiziert</t>
  </si>
  <si>
    <t>Landi</t>
  </si>
  <si>
    <t>Fachliche Zielentscheidung, Bewertungslogik und verbindliche Regeln fuer die Ground Truth festlegen</t>
  </si>
  <si>
    <t>Fachliche Zieldefinition; Bewertungsleitfaden; priorisierte Entscheidungsregeln; abgenommene Akzeptanz- und Abgrenzungskriterien</t>
  </si>
  <si>
    <t>Leitfaden und Regeln durch Fachlead freigegeben</t>
  </si>
  <si>
    <t>Referenzfaelle fachlich labeln, kommentieren und strittige Faelle aufloesen</t>
  </si>
  <si>
    <t>Annotiertes Fallset; Referenzentscheidungen inkl. Begruendung; Edge-Case-Liste; dokumentierte Abweichungen fuer Adjudication</t>
  </si>
  <si>
    <t>Gold-Set und Shadow-Set vollstaendig gelabelt</t>
  </si>
  <si>
    <t>PoC-Setup, Arbeitsmodus, Review-Kadenz und Entscheidungsprozess mit Landi aufsetzen</t>
  </si>
  <si>
    <t>Kickoff-Unterlagen; abgestimmter Termin- und Review-Plan; Entscheidungs- und Eskalationslog; finaler Validierungsplan fuer Phase 1</t>
  </si>
  <si>
    <t>Kickoff erfolgt; Review-Kadenz bestaetigt; Ground-Truth-Vorgehen freigegeben</t>
  </si>
  <si>
    <t>Test- und Bewertungsmethodik fuer die spaetere PoC-Validierung aufsetzen</t>
  </si>
  <si>
    <t>Test- und Bewertungsmatrix; Definition Gold-Set vs. Shadow-Set; Defect-Klassifikation fuer spaetere Abweichungen</t>
  </si>
  <si>
    <t>Bewertungsmatrix freigegeben</t>
  </si>
  <si>
    <t>Ground-Truth-relevante System- und Datenperspektive fuer die spaetere Agentenbewertung einbringen</t>
  </si>
  <si>
    <t>Entscheidungsobjekt-Entwurf; Liste technischer Muss-Attribute; Bewertungsrelevante Architekturannahmen</t>
  </si>
  <si>
    <t>Technische Muss-Attribute fuer die Validierung definiert</t>
  </si>
  <si>
    <t>P2</t>
  </si>
  <si>
    <t>Detaildesign &amp; Datenvorbereitung</t>
  </si>
  <si>
    <t>W3</t>
  </si>
  <si>
    <t>Daten, Regeln und Agenten-Design auf PoC-Niveau spezifizieren</t>
  </si>
  <si>
    <t>Agentenrollen, I/O-Vertraege, Prompt-Strategie und Entscheidungslogik spezifizieren</t>
  </si>
  <si>
    <t>Agentenrollenbeschreibung; Input-/Output-Schemata; Prompt-/Instruktionsstrategie; Entscheidungs- und Eskalationsschema</t>
  </si>
  <si>
    <t>Agenten-Spezifikation abgestimmt</t>
  </si>
  <si>
    <t>Runtime-Komponenten, API-/Service-Schnitt und technische Review-Oberflaeche spezifizieren</t>
  </si>
  <si>
    <t>Technisches Runtime-Design; API-/Service-Schnittstellen; Logging-/Tracing-Design; UI-/Review-Komponenten-Skizze</t>
  </si>
  <si>
    <t>Technische Komponentenliste freigegeben</t>
  </si>
  <si>
    <t>User Journey, Review-Flow und Bedienkonzept fuer Fachanwender konkretisieren</t>
  </si>
  <si>
    <t>User Journey fuer Startszenario; Review-/Freigabeflow; Wireframe-Skizzen; Rollen-/Aktionsmatrix</t>
  </si>
  <si>
    <t>Review-Flow freigegeben</t>
  </si>
  <si>
    <t>Logisches Datenmodell, Feldmapping und Ingestion-/Indexierungsansatz definieren</t>
  </si>
  <si>
    <t>PoC-Datenmodell; Feldmapping Quelle zu PoC; Ingestion-Spezifikation; Indexierungs- und Chunking-Konzept</t>
  </si>
  <si>
    <t>Datenmodell und Mapping freigegeben</t>
  </si>
  <si>
    <t>Regeln, Muss-Daten und fachliche Prioritaeten fuer den PoC verbindlich machen</t>
  </si>
  <si>
    <t>Abgestimmter Regelkatalog; fachliche Priorisierung Muss/Soll; Liste zwingender Datenfelder; fachliche Abgrenzung fuer PoC</t>
  </si>
  <si>
    <t>Regelkatalog fachlich freigegeben</t>
  </si>
  <si>
    <t>Fachliche Plausibilisierung von Feldern, Regeln und Beispielmaterial liefern</t>
  </si>
  <si>
    <t>Kommentierte Beispieldokumente; Review des Datenmappings; Feedback zu Entscheidungslogik und Ausnahmefaellen</t>
  </si>
  <si>
    <t>Mapping und Dokumentbeispiele fachlich plausibilisiert</t>
  </si>
  <si>
    <t>Detaildesign organisieren, Abhaengigkeiten steuern und Scope sauber fixieren</t>
  </si>
  <si>
    <t>Detaillierter Phasenplan; RAID-Log; abgestimmte Design-Workshops; Scope- und Abhaengigkeitsliste</t>
  </si>
  <si>
    <t>Detaildesign formal gestartet und offene Punkte getrackt</t>
  </si>
  <si>
    <t>Traceability, Testkonzept und Abnahmekriterien in die Umsetzung ueberfuehren</t>
  </si>
  <si>
    <t>Testkonzept; Traceability-Matrix von Regel zu Test; UAT-/Abnahmekriterien je Hauptfunktion</t>
  </si>
  <si>
    <t>Testkonzept abgenommen</t>
  </si>
  <si>
    <t>PoC-Solution-Design, Agenten-Zusammenspiel und Audit-/Governance-Ansatz entwerfen</t>
  </si>
  <si>
    <t>PoC-Solution-Design; Agenten-Interaktionsdesign; Audit- und Governance-Konzept; technische Annahmenliste</t>
  </si>
  <si>
    <t>Solution Design freigegeben</t>
  </si>
  <si>
    <t>P3</t>
  </si>
  <si>
    <t>Runtime &amp; Basisplattform</t>
  </si>
  <si>
    <t>W4</t>
  </si>
  <si>
    <t>Technische Basisplattform, Retrieval, Logging und Review-Setup bereitstellen</t>
  </si>
  <si>
    <t>Orchestrierungsrahmen, Modellkonfiguration und Evaluations-Hooks vorbereiten</t>
  </si>
  <si>
    <t>Orchestrierungs-Skelett; Modell-/Konfigurationsbaseline; Hooks fuer Eval und Tracing; Basis fuer Prompt-Layer</t>
  </si>
  <si>
    <t>AI-Runtime-Basis lauffaehig</t>
  </si>
  <si>
    <t>Technische Plattform, Services und Audit-Logging als lauffaehige Basis bereitstellen</t>
  </si>
  <si>
    <t>Repo-/Service-Skelett; lauffaehige Runtime-Bausteine; Audit-Logging-Basis; einfache Review-Oberflaeche</t>
  </si>
  <si>
    <t>Basisplattform technisch lauffaehig</t>
  </si>
  <si>
    <t>Review-Backlog, Nutzungstexte und Feedback-Erfassung operationalisieren</t>
  </si>
  <si>
    <t>Priorisierter Review-UI-Backlog; Copy fuer Ergebnis-/Feedback-Maske; Feedback-Capture-Konzept</t>
  </si>
  <si>
    <t>Review-Bedienkonzept fuer Umsetzung bereit</t>
  </si>
  <si>
    <t>PoC-Daten laden, strukturieren und fuer Retrieval/Agenten nutzbar machen</t>
  </si>
  <si>
    <t>Geladene PoC-Daten; Metadaten-Schema; Such-/Vektorindex; initialer Datenqualitaetsreport</t>
  </si>
  <si>
    <t>Daten fuer Retrieval und Regeln verfuegbar</t>
  </si>
  <si>
    <t>Fachliche Readiness fuer Testdaten, Zugriffe und Review sicherstellen</t>
  </si>
  <si>
    <t>Freigegebene Testdatenliste; Review-Zugriffsplan; fachliches Readiness-Sign-off fuer Build</t>
  </si>
  <si>
    <t>Fachliche Build-Readiness gegeben</t>
  </si>
  <si>
    <t>Fruehe Smoke-Reviews auf Daten und Prototypfluss ermoeglichen</t>
  </si>
  <si>
    <t>Feedback zu Beispiel-Fallfluss; Rueckfragenliste; erste Plausibilisierung von Eingabe-/Ausgabeobjekten</t>
  </si>
  <si>
    <t>Fruehes fachliches Feedback rueckgespielt</t>
  </si>
  <si>
    <t>Umsetzungsstart operationalisieren und Umgebungs-Readiness absichern</t>
  </si>
  <si>
    <t>Umsetzungsboard; Sprint-/Arbeitsplan fuer Build-Start; Environment-Readiness-Status; Issue-Tracking-Struktur</t>
  </si>
  <si>
    <t>Build-Start freigegeben</t>
  </si>
  <si>
    <t>Build-nahe Testvorbereitung und Smoke-Test-Readiness herstellen</t>
  </si>
  <si>
    <t>Smoke-Testfaelle; Testumgebungs-Checkliste; Defect-Workflow fuer Build-Phase</t>
  </si>
  <si>
    <t>Smoke-Test-Readiness bestaetigt</t>
  </si>
  <si>
    <t>Runtime-Baseline, Deployment-Sicht und Leitplanken fuer die Implementierung festlegen</t>
  </si>
  <si>
    <t>Runtime-Architektur-Baseline; Deployment-Topologie fuer PoC; Security-/Guardrail-Leitplanken; technische ADRs</t>
  </si>
  <si>
    <t>Runtime-Design implementierbar freigegeben</t>
  </si>
  <si>
    <t>P4</t>
  </si>
  <si>
    <t>Agenten-Implementierung</t>
  </si>
  <si>
    <t>W4, W5, W6</t>
  </si>
  <si>
    <t>Supervisor und Sub-Agents implementieren und End-to-End lauffaehig machen</t>
  </si>
  <si>
    <t>Supervisor, Retrieval-/Rule-/Decision-Logik und Erklaerungsmechanik implementieren</t>
  </si>
  <si>
    <t>Supervisor-Prompts; Sub-Agent-Prompts; Routing-/Decision-Logik; Explanation-Templates; Guardrail-Konfiguration</t>
  </si>
  <si>
    <t>Agenten-Flow End-to-End lauffaehig</t>
  </si>
  <si>
    <t>Services, Review-UI, Zustandsfuehrung und Audit-Endpunkte fuer den PoC implementieren</t>
  </si>
  <si>
    <t>Service-Endpunkte; Review-UI; Zustandsmodell fuer Faelle; Audit-/Tracing-Endpunkte</t>
  </si>
  <si>
    <t>PoC-Anwendung technisch benutzbar</t>
  </si>
  <si>
    <t>Ergebnisdarstellung und Human-in-the-loop-Flow fuer Fachanwender ausformulieren</t>
  </si>
  <si>
    <t>Ergebnis- und Evidenzkonzept; Texte fuer Freigabe/Ablehnung; finalisierter Human-in-the-loop-Flow</t>
  </si>
  <si>
    <t>Review-Flow nutzbar und verstaendlich</t>
  </si>
  <si>
    <t>Retrieval-Pipeline, strukturierte Datennutzung und Regel-Inputs produktiv im PoC verankern</t>
  </si>
  <si>
    <t>Retrieval-Pipeline; strukturierte Datenzugriffe; Regel-/Referenzdaten fuer Agenten; Refresh-/Load-Skripte</t>
  </si>
  <si>
    <t>Datenversorgung fuer Agenten stabil</t>
  </si>
  <si>
    <t>Regel- und Entscheidungsfragen waehrend des Builds zuegig klaeren und priorisieren</t>
  </si>
  <si>
    <t>Geklaerte Regelentscheide; priorisierte fachliche Rueckfragen; Zwischenabnahme fuer Kernfunktionen</t>
  </si>
  <si>
    <t>Kernfunktionen fachlich richtungsbestimmt</t>
  </si>
  <si>
    <t>Fallbeispiele, Ausnahmefaelle und fachliches Feedback aus den ersten E2E-Laeufen liefern</t>
  </si>
  <si>
    <t>Kommentierte Walkthroughs; Liste erkannter Ausnahmefaelle; Feedback zu Begruendung und Ergebnisdarstellung</t>
  </si>
  <si>
    <t>E2E-Feedback aus Fachsicht dokumentiert</t>
  </si>
  <si>
    <t>Implementierungsphase steuern, Scope kontrollieren und Demos koordinieren</t>
  </si>
  <si>
    <t>Wochenstatus; Change-/Decision-Log; Demo-Unterlagen je Iteration; abgestimmter Implementierungsplan</t>
  </si>
  <si>
    <t>Implementierung laeuft im abgestimmten Scope</t>
  </si>
  <si>
    <t>E2E-Testfaelle, Agentenqualitaetspruefung und Trace-Validierung aufsetzen und ausfuehren</t>
  </si>
  <si>
    <t>E2E-Testfaelle; Agenten-QA-Checkliste; Trace-Validierungsfaelle; erste Defect-Liste aus Build-Tests</t>
  </si>
  <si>
    <t>Build mit testbaren Qualitaetskriterien abgesichert</t>
  </si>
  <si>
    <t>Supervisor-/Sub-Agent-Design in der Umsetzung fuehren und Designentscheidungen absichern</t>
  </si>
  <si>
    <t>Technische Designentscheide (ADRs); Eskalations- und Kontrolllogik; abgestimmtes Supervisor-/Sub-Agent-Muster</t>
  </si>
  <si>
    <t>Design kohärent implementiert</t>
  </si>
  <si>
    <t>P5</t>
  </si>
  <si>
    <t>Validierung &amp; Tuning</t>
  </si>
  <si>
    <t>W7, W8</t>
  </si>
  <si>
    <t>Validierung gegen Ground Truth, Fehleranalyse und Tuning</t>
  </si>
  <si>
    <t>Prompt-, Routing- und Entscheidungslogik anhand der Validierung verbessern</t>
  </si>
  <si>
    <t>Evaluationsreport; Fehlercluster; finales Prompt-/Routing-Set; dokumentierte Agenten-Konfiguration</t>
  </si>
  <si>
    <t>Qualitaetsverbesserungen nachweisbar umgesetzt</t>
  </si>
  <si>
    <t>Fehlerkorrekturen, Observability und technische Stabilisierung aus der Validierung umsetzen</t>
  </si>
  <si>
    <t>Bugfix-Paket; Observability-/Logging-Verbesserungen; Performance- und Stabilitaetsnotizen</t>
  </si>
  <si>
    <t>PoC technisch stabil fuer Abschlussdemo</t>
  </si>
  <si>
    <t>Usability- und Review-Erkenntnisse sammeln und Bedienkonzept nachschaerfen</t>
  </si>
  <si>
    <t>Usability Findings; optimierter Review-Flow; ueberarbeitete Guidance-/Hilfetexte</t>
  </si>
  <si>
    <t>Review-Konzept fuer MVP-Empfehlung belastbar</t>
  </si>
  <si>
    <t>Retrieval, Chunking und Datenqualitaet anhand der Abweichungen optimieren</t>
  </si>
  <si>
    <t>Retrieval-Tuning; angepasste Chunking-/Indexierungsparameter; Daten-Defect-Log; Bereinigungsliste</t>
  </si>
  <si>
    <t>Datenbedingte Fehler transparent adressiert</t>
  </si>
  <si>
    <t>Fachliche Bewertung der Resultate gegen Ground Truth und Nutzenhypothesen vornehmen</t>
  </si>
  <si>
    <t>Fachliche Validierungsvermerke; akzeptierte Zielschwellen; Business-Impact-Einschaetzung; offene Restthemen</t>
  </si>
  <si>
    <t>Fachliche Bewertung abgeschlossen</t>
  </si>
  <si>
    <t>Abweichungen adjudizieren, Shadow-Faelle pruefen und Fehlermuster rueckspiegeln</t>
  </si>
  <si>
    <t>Review der Laufresultate; adjudizierte Abweichungen; Feedback zu Ausnahmebehandlung und Erklaerungen</t>
  </si>
  <si>
    <t>Ground-Truth-Abgleich fachlich komplett</t>
  </si>
  <si>
    <t>Validierungsphase strukturieren, Defects priorisieren und Retests steuern</t>
  </si>
  <si>
    <t>Validierungsboard; priorisierter Defect-Backlog; Retest-Plan; Entscheidungsgrundlage fuer Abschlussphase</t>
  </si>
  <si>
    <t>Validierungsphase kontrolliert abgewickelt</t>
  </si>
  <si>
    <t>Formale Validierung gegen Ground Truth dokumentieren und Release-Entscheidung vorbereiten</t>
  </si>
  <si>
    <t>Validierungsreport; Defect-Log; Coverage-Matrix; Empfehlung fuer PoC-Abschlussfreigabe</t>
  </si>
  <si>
    <t>Validierungsnachweis vollstaendig</t>
  </si>
  <si>
    <t>Tuning-Entscheide, Architekturgrenzen und MVP-Uebergang fachlich-technisch einordnen</t>
  </si>
  <si>
    <t>Tuning-Entscheidungsliste; Zielbild-Luecken fuer MVP; technische Uebergangsnotizen PoC zu MVP</t>
  </si>
  <si>
    <t>Architekturfolgen des PoC dokumentiert</t>
  </si>
  <si>
    <t>P6</t>
  </si>
  <si>
    <t>Abschluss &amp; MVP-Entscheid</t>
  </si>
  <si>
    <t>W8</t>
  </si>
  <si>
    <t>Ergebnisse bewerten, MVP-Scope ableiten und Management-Entscheid vorbereiten</t>
  </si>
  <si>
    <t>Hardening- und Produktionsreife-Backlog fuer Agentensystem aufbauen</t>
  </si>
  <si>
    <t>Agent-Hardening-Backlog; Produktionsisierungs-Backlog; Handover der Eval-/Guardrail-Mechanik</t>
  </si>
  <si>
    <t>AI-Backlog fuer MVP nutzbar</t>
  </si>
  <si>
    <t>Technischen MVP-Backlog fuer Services, Betrieb und Schnittstellen ableiten</t>
  </si>
  <si>
    <t>Technischer MVP-Backlog; Deployment-/Ops-Backlog; Liste geplanter Schnittstellenarbeiten</t>
  </si>
  <si>
    <t>Backend-/Platform-Folgethemen priorisiert</t>
  </si>
  <si>
    <t>MVP-Nutzerbild, Change- und Trainingsbedarf aus dem PoC heraus konkretisieren</t>
  </si>
  <si>
    <t>MVP-User-Journey; Change-/Adoption-Backlog; Trainings- und Enablement-Bedarfe</t>
  </si>
  <si>
    <t>Adoption-Sicht fuer MVP dokumentiert</t>
  </si>
  <si>
    <t>Produktionsnahe Daten- und Integrationsbedarfe fuer MVP konkretisieren</t>
  </si>
  <si>
    <t>Daten-/Integrationsbacklog; Liste anzubindender Quellen; Produktionsdaten-Risiken und Voraussetzungen</t>
  </si>
  <si>
    <t>Datenpfad fuer MVP grob beschrieben</t>
  </si>
  <si>
    <t>Go/No-Go-Position und MVP-Prioritaeten aus Business-Sicht festlegen</t>
  </si>
  <si>
    <t>Go/No-Go-/Refine-Empfehlung; priorisierter MVP-Scope; fachliches Sign-off fuer naechste Phase</t>
  </si>
  <si>
    <t>Business-Empfehlung verabschiedet</t>
  </si>
  <si>
    <t>Lessons Learned, Betriebsimplikationen und notwendige Rollenveraenderungen rueckmelden</t>
  </si>
  <si>
    <t>Lessons-Learned-Liste; betriebliche Randbedingungen; Input zu Rollen- und Prozessauswirkungen</t>
  </si>
  <si>
    <t>Operative Sicht in MVP-Planung integriert</t>
  </si>
  <si>
    <t>PoC-Abschluss, Entscheidungsfindung und naechste Schritte fuer MVP orchestrieren</t>
  </si>
  <si>
    <t>Steering-Deck; Roadmap-Entwurf; Budget-/Next-Step-Entscheidungspaket; Abschlussprotokoll</t>
  </si>
  <si>
    <t>Management-Readout durchfuehrbar</t>
  </si>
  <si>
    <t>Exit-Kriterien pruefen und Test-/Qualitaetsbacklog fuer MVP uebergeben</t>
  </si>
  <si>
    <t>UAT-/Abschlusszusammenfassung; Status der Exit-Kriterien; Testautomatisierungs-/Qualitaetsbacklog fuer MVP</t>
  </si>
  <si>
    <t>PoC-Abschlussqualitaet dokumentiert</t>
  </si>
  <si>
    <t>Architektur-Deltas fuer MVP und Integrationsroadmap aus dem PoC ableiten</t>
  </si>
  <si>
    <t>MVP-Architektur-Deltas; Integrations-Roadmap; Security-/Ops-Gap-Liste</t>
  </si>
  <si>
    <t>Technischer Uebergangspfad definiert</t>
  </si>
  <si>
    <t>P0</t>
  </si>
  <si>
    <t>Projekt Setup</t>
  </si>
  <si>
    <t>Landi / Zühlke</t>
  </si>
  <si>
    <t>Zühlke</t>
  </si>
  <si>
    <t>W0</t>
  </si>
  <si>
    <t>Aufsetzen des PoC Projekt / Stakeholder alignment</t>
  </si>
  <si>
    <t>Erste Inputs und Abstimmung zur Nutzung</t>
  </si>
  <si>
    <t>Projektplan, Stakholder map, Governance Strukturen</t>
  </si>
  <si>
    <t>Inputs für die Projektphase + Review</t>
  </si>
  <si>
    <t>Inputs zu Nutzung</t>
  </si>
  <si>
    <t>Projektplan und Governance erstellt</t>
  </si>
  <si>
    <t>UC2: Produktinformationen bereitstellen</t>
  </si>
  <si>
    <t>Low-Code: Weniger Entwicklungs-Aufwand.</t>
  </si>
  <si>
    <t>Custom Orchestrierung, Function Calling vollständig custom, Azure AI Search Setup</t>
  </si>
  <si>
    <t>1) Operating Model / Run Model</t>
  </si>
  <si>
    <t>2) LLM &amp; Modellkosten / Plattform &amp; Infrastrukturkosten</t>
  </si>
  <si>
    <t>3) Qualitative Scorecard und Nutzen-Realisierung</t>
  </si>
  <si>
    <t>P0 Projektsteup PoC und PMO</t>
  </si>
  <si>
    <t>P7 PoC-Dokumentation &amp; Go/No-Go Vorlage</t>
  </si>
  <si>
    <t>Einmahlige Software / Entwicklung Gebühr</t>
  </si>
  <si>
    <t>P7</t>
  </si>
  <si>
    <t>Dokumentation</t>
  </si>
  <si>
    <t>W9</t>
  </si>
  <si>
    <t>Dokumentation des Projekts</t>
  </si>
  <si>
    <t>Zusätzlich Informationen aufbereiten und bereitstellen</t>
  </si>
  <si>
    <t>Abschlussdokumentation</t>
  </si>
  <si>
    <t>Kostenfaktor</t>
  </si>
  <si>
    <t>Fixe Nutzung Search / Gateway / Basisplattform</t>
  </si>
  <si>
    <t>Variable Nutzung / Token- &amp; Creditsverbrauch</t>
  </si>
  <si>
    <t>LLM &amp; ModellKosten (variable)</t>
  </si>
  <si>
    <t>Ziel: Technologie validieren in 6–8 Wochen. Kein Live-Systemzugriff – statische Daten und Uploads. 4 Use Cases vollständig gebaut und von SMEs bewertet. Go/No-Go Entscheid für MVP.</t>
  </si>
  <si>
    <t>UC3: Diagnose stellen</t>
  </si>
  <si>
    <t>Use Cases: UC1: Produkt identifizieren  ·  UC2: Produktinfos bereitstellen ·  UC3: Diagnose ·  UC4: Handlungsoptionen</t>
  </si>
  <si>
    <t>UC4: Handlungsoptionen</t>
  </si>
  <si>
    <t>Use Cases: UC1: Produkt identifizieren  ·  UC2: Produktinfos bereitstellen ·  UC3: Diagnose  ·  UC4: Handlungsoptionen  ·  UC5: Ersatzteil  ·  UC6: Garantie  ·  UC7: Case vorbereiten  ·  UC8: Dokumentation</t>
  </si>
  <si>
    <t>Wie viele Landi Läden</t>
  </si>
  <si>
    <t>Szenario GCP Vertex zu GCP Migration</t>
  </si>
  <si>
    <t>Die Berechnungen sind aktuell auf externen Tagessätzen basierend ausgeführt</t>
  </si>
  <si>
    <t>Projektarbeit, Abstimmung und Kommunikation</t>
  </si>
  <si>
    <t>PoC Kosten</t>
  </si>
  <si>
    <t>Geschätzte PoC-Dauer</t>
  </si>
  <si>
    <t>MVP Kosten</t>
  </si>
  <si>
    <t>── INTEGRATIONEN ───────────────</t>
  </si>
  <si>
    <t>── USE CASES ───────────────────</t>
  </si>
  <si>
    <t>── ABSCHLUSS ───────────────────</t>
  </si>
  <si>
    <t>── Projektstart und Organisation ──────</t>
  </si>
  <si>
    <t>ROI Berechnung</t>
  </si>
  <si>
    <t>Nutzen</t>
  </si>
  <si>
    <t>Kosten</t>
  </si>
  <si>
    <t>Nutzen Y1</t>
  </si>
  <si>
    <t>Nutzen Y2</t>
  </si>
  <si>
    <t>Nutzen Y3</t>
  </si>
  <si>
    <t>Nutzen Y4</t>
  </si>
  <si>
    <t>Nutzen Y5</t>
  </si>
  <si>
    <t>Kosten Y1</t>
  </si>
  <si>
    <t>Kosten Y2</t>
  </si>
  <si>
    <t>Kosten Y3</t>
  </si>
  <si>
    <t>Kosten Y4</t>
  </si>
  <si>
    <t>Kosten Y5</t>
  </si>
  <si>
    <t>Kosten Y0</t>
  </si>
  <si>
    <t>Break-Even Analyse – Kumulierter Netto-Cashflow</t>
  </si>
  <si>
    <t>Jahr</t>
  </si>
  <si>
    <t>Jahr 0</t>
  </si>
  <si>
    <t>Jahr 1</t>
  </si>
  <si>
    <t>Jahr 2</t>
  </si>
  <si>
    <t>Jahr 3</t>
  </si>
  <si>
    <t>Jahr 5</t>
  </si>
  <si>
    <t>20’000</t>
  </si>
  <si>
    <t>6) Anzahl Dokumente</t>
  </si>
  <si>
    <t>PIM Export</t>
  </si>
  <si>
    <t>Produktbilder</t>
  </si>
  <si>
    <t>Ersatzteilbilder</t>
  </si>
  <si>
    <t>MAM PDF Anleitungen</t>
  </si>
  <si>
    <t>Serviceaufträge (DWH)</t>
  </si>
  <si>
    <t>Zeichen</t>
  </si>
  <si>
    <t>Anzahl Seiten pro PDF</t>
  </si>
  <si>
    <t>Anzahl Zeichen pro Seite</t>
  </si>
  <si>
    <t>MB</t>
  </si>
  <si>
    <t>Dateigrösse pro Seite</t>
  </si>
  <si>
    <t>Wie viele MA pro PoS</t>
  </si>
  <si>
    <t>Schätzung</t>
  </si>
  <si>
    <t>5 = niedrigstes Lock-in-Risiko</t>
  </si>
  <si>
    <t>5 = niedrigstes Risiko</t>
  </si>
  <si>
    <t>Maximale Souveränität;  selbst bestimmte LLM Modelle, welche über APIs genutzt werden</t>
  </si>
  <si>
    <t>Plattform / Integration / (Entwicklung) (FTE)</t>
  </si>
  <si>
    <t>CHF/1M Input-Tokens. Copilot: Credits-Modell (keine Token-Preise). Azure berechnet mit GPT 5.4 / GPC Gemini 3.1 Pro</t>
  </si>
  <si>
    <t>1 gen. Antwort (2) + 1.5 Agent Actions × 5 (7.5) + 0.1 AI-Tools × 1.5 (0.15)</t>
  </si>
  <si>
    <t>GCP Vertex: blended Gemini Flash 50%/Pro 50%. Azure: GPT-5.4 $15/M Out. OSS: Llama 4 (Foundry).</t>
  </si>
  <si>
    <t>Schätzung Landi Website Rasentrimmer</t>
  </si>
  <si>
    <t>Solution Architect / Cloud Engineer</t>
  </si>
  <si>
    <t>Betriebskonzept vor dem Rollout</t>
  </si>
  <si>
    <t>GCP Komponenten</t>
  </si>
  <si>
    <t>⑤ GCP Komponenten (ADK)</t>
  </si>
  <si>
    <t>GPT-5 MS-managed; Günstig wenn M365 Copilot; Custom Connectors nötig; keine CH-LLM-Residenz.</t>
  </si>
  <si>
    <t>GCP Kompontenten</t>
  </si>
  <si>
    <t>1) Executive Übersicht</t>
  </si>
  <si>
    <t>2) Vergleich Kosten und Wertbeitrag der Szenarien</t>
  </si>
  <si>
    <t>3) ROI Berechnung</t>
  </si>
  <si>
    <t>5) Executive Empfehlung</t>
  </si>
  <si>
    <r>
      <t xml:space="preserve">Wir empfehlen, den </t>
    </r>
    <r>
      <rPr>
        <b/>
        <sz val="11"/>
        <color theme="1"/>
        <rFont val="Calibri"/>
        <family val="2"/>
      </rPr>
      <t xml:space="preserve">digitalen Assistenten auf GCP </t>
    </r>
    <r>
      <rPr>
        <sz val="11"/>
        <color theme="1"/>
        <rFont val="Calibri"/>
        <family val="2"/>
        <charset val="1"/>
      </rPr>
      <t xml:space="preserve">aufzubauen – mit einem schnellen Einstieg über Vertex AI und einem klaren Pfad in eine produktive Zielarchitektur.
</t>
    </r>
    <r>
      <rPr>
        <b/>
        <sz val="11"/>
        <color theme="1"/>
        <rFont val="Calibri"/>
        <family val="2"/>
      </rPr>
      <t>Strategischer Fit:</t>
    </r>
    <r>
      <rPr>
        <sz val="11"/>
        <color theme="1"/>
        <rFont val="Calibri"/>
        <family val="2"/>
        <charset val="1"/>
      </rPr>
      <t xml:space="preserve"> Passt zur angestrebten LANDI / fenaco Zielarchitektur.
</t>
    </r>
    <r>
      <rPr>
        <b/>
        <sz val="11"/>
        <color theme="1"/>
        <rFont val="Calibri"/>
        <family val="2"/>
      </rPr>
      <t xml:space="preserve">Technisch machbar: </t>
    </r>
    <r>
      <rPr>
        <sz val="11"/>
        <color theme="1"/>
        <rFont val="Calibri"/>
        <family val="2"/>
        <charset val="1"/>
      </rPr>
      <t xml:space="preserve">Dynamics, SharePoint und weitere Umsysteme sind integrierbar.
</t>
    </r>
    <r>
      <rPr>
        <b/>
        <sz val="11"/>
        <color theme="1"/>
        <rFont val="Calibri"/>
        <family val="2"/>
      </rPr>
      <t xml:space="preserve">Ohne Sackgasse skalierbar: </t>
    </r>
    <r>
      <rPr>
        <sz val="11"/>
        <color theme="1"/>
        <rFont val="Calibri"/>
        <family val="2"/>
        <charset val="1"/>
      </rPr>
      <t xml:space="preserve">PoC, Pilot und produktiver Betrieb können auf derselben Plattform erfolgen.
</t>
    </r>
    <r>
      <rPr>
        <b/>
        <sz val="11"/>
        <color theme="1"/>
        <rFont val="Calibri"/>
        <family val="2"/>
      </rPr>
      <t xml:space="preserve">Zukunftsfähig: </t>
    </r>
    <r>
      <rPr>
        <sz val="11"/>
        <color theme="1"/>
        <rFont val="Calibri"/>
        <family val="2"/>
        <charset val="1"/>
      </rPr>
      <t>Mit einer offnene GCP Architektur lassen sich auch neue, unvorsehbare Entwicklungen integrieren</t>
    </r>
  </si>
  <si>
    <t>Gelbe Zellen = editierbare Annahmen. Formeln sind schwarz/grün. Kommerzielle Upside kann in 02_INPUTS aktiviert werden.</t>
  </si>
  <si>
    <t>Microsoft- und Azure-Preise sind region-, vertrag- und FX-abhängig. Deshalb sind Preise als parametrisierbare Annahmen aufgebaut und die Quellen im Sheet 08_SOURCES dokumentiert.</t>
  </si>
  <si>
    <t>1) Annahmen in 02_INPUTS prüfen (bleiben von Landi bestätigt). 2) Szenario-Hebel in 03_SZENARIOS anpassen. 3) Ergebnisse in 01_EXEC_SUMMARY und 07_VALUE_CASE ablesen.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</si>
</sst>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44" formatCode="_(&quot;$&quot;* #,##0.00_);_(&quot;$&quot;* \(#,##0.00\);_(&quot;$&quot;* &quot;-&quot;??_);_(@_)"/>
    <numFmt numFmtId="43" formatCode="_(* #,##0.00_);_(* \(#,##0.00\);_(* &quot;-&quot;??_);_(@_)"/>
    <numFmt numFmtId="164" formatCode="#,##0&quot; PD&quot;"/>
    <numFmt numFmtId="165" formatCode="[$CHF ]#,##0;[Red]\([$CHF ]#,##0\);\-"/>
    <numFmt numFmtId="166" formatCode="0&quot; Mon.&quot;"/>
    <numFmt numFmtId="167" formatCode="0.0%"/>
    <numFmt numFmtId="168" formatCode="#,##0.0;[Red]\(#,##0.0\);\-"/>
    <numFmt numFmtId="169" formatCode="#,##0;[Red]\(#,##0\);\-"/>
    <numFmt numFmtId="170" formatCode="[$CHF ]#,##0.0000;[Red]\([$CHF ]#,##0.0000\);\-"/>
    <numFmt numFmtId="171" formatCode="#,##0.0"/>
    <numFmt numFmtId="172" formatCode="0.0"/>
    <numFmt numFmtId="173" formatCode="#,##0&quot; CHF&quot;;\(#,##0&quot; CHF)&quot;;\-"/>
    <numFmt numFmtId="174" formatCode="[$CHF ]#,##0.00;[Red]\([$CHF ]#,##0.00\);\-"/>
    <numFmt numFmtId="175" formatCode="[$CHF-807]\ #,##0.00"/>
    <numFmt numFmtId="176" formatCode="_(* #,##0.0_);_(* \(#,##0.0\);_(* &quot;-&quot;??_);_(@_)"/>
    <numFmt numFmtId="177" formatCode="_(* #,##0_);_(* \(#,##0\);_(* &quot;-&quot;??_);_(@_)"/>
  </numFmts>
  <fonts count="42" x14ac:knownFonts="1">
    <font>
      <sz val="11"/>
      <color theme="1"/>
      <name val="Calibri"/>
      <family val="2"/>
      <charset val="1"/>
    </font>
    <font>
      <sz val="10"/>
      <name val="Arial"/>
      <family val="2"/>
    </font>
    <font>
      <b/>
      <sz val="16"/>
      <color rgb="FFFFFFFF"/>
      <name val="Calibri"/>
      <family val="2"/>
      <charset val="1"/>
    </font>
    <font>
      <b/>
      <sz val="11"/>
      <name val="Calibri"/>
      <family val="2"/>
      <charset val="1"/>
    </font>
    <font>
      <b/>
      <sz val="11"/>
      <color theme="1"/>
      <name val="Calibri"/>
      <family val="2"/>
      <charset val="1"/>
    </font>
    <font>
      <b/>
      <sz val="11"/>
      <color rgb="FFFFFFFF"/>
      <name val="Calibri"/>
      <family val="2"/>
      <charset val="1"/>
    </font>
    <font>
      <b/>
      <sz val="11"/>
      <color rgb="FF000000"/>
      <name val="Calibri"/>
      <family val="2"/>
      <charset val="1"/>
    </font>
    <font>
      <sz val="10"/>
      <color rgb="FF666666"/>
      <name val="Calibri"/>
      <family val="2"/>
      <charset val="1"/>
    </font>
    <font>
      <sz val="11"/>
      <color rgb="FF000000"/>
      <name val="Calibri"/>
      <family val="2"/>
      <charset val="1"/>
    </font>
    <font>
      <sz val="11"/>
      <color rgb="FF008000"/>
      <name val="Calibri"/>
      <family val="2"/>
      <charset val="1"/>
    </font>
    <font>
      <i/>
      <sz val="11"/>
      <color rgb="FF666666"/>
      <name val="Calibri"/>
      <family val="2"/>
      <charset val="1"/>
    </font>
    <font>
      <sz val="11"/>
      <color rgb="FF0000FF"/>
      <name val="Calibri"/>
      <family val="2"/>
      <charset val="1"/>
    </font>
    <font>
      <i/>
      <sz val="10"/>
      <color rgb="FF7F7F7F"/>
      <name val="Cambria"/>
      <family val="1"/>
      <charset val="1"/>
    </font>
    <font>
      <sz val="12"/>
      <color rgb="FF000000"/>
      <name val="Calibri"/>
      <family val="2"/>
      <charset val="1"/>
    </font>
    <font>
      <b/>
      <sz val="14"/>
      <color rgb="FF000000"/>
      <name val="Calibri"/>
      <family val="2"/>
      <charset val="1"/>
    </font>
    <font>
      <b/>
      <sz val="12"/>
      <color rgb="FF000000"/>
      <name val="Calibri"/>
      <family val="2"/>
      <charset val="1"/>
    </font>
    <font>
      <sz val="11"/>
      <color theme="1"/>
      <name val="Calibri"/>
      <family val="2"/>
      <charset val="1"/>
    </font>
    <font>
      <b/>
      <sz val="16"/>
      <color rgb="FFFFFFFF"/>
      <name val="Calibri"/>
      <family val="2"/>
      <scheme val="minor"/>
    </font>
    <font>
      <sz val="11"/>
      <color theme="1"/>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sz val="11"/>
      <color rgb="FF008000"/>
      <name val="Calibri"/>
      <family val="2"/>
      <scheme val="minor"/>
    </font>
    <font>
      <sz val="10"/>
      <color rgb="FF666666"/>
      <name val="Calibri"/>
      <family val="2"/>
      <scheme val="minor"/>
    </font>
    <font>
      <b/>
      <sz val="10"/>
      <color rgb="FF000000"/>
      <name val="Calibri"/>
      <family val="2"/>
      <scheme val="minor"/>
    </font>
    <font>
      <sz val="10"/>
      <name val="Calibri"/>
      <family val="2"/>
      <scheme val="minor"/>
    </font>
    <font>
      <sz val="10"/>
      <color rgb="FF000000"/>
      <name val="Arial"/>
      <family val="2"/>
    </font>
    <font>
      <b/>
      <sz val="13"/>
      <color rgb="FFFFFFFF"/>
      <name val="Arial"/>
      <family val="2"/>
    </font>
    <font>
      <i/>
      <sz val="9"/>
      <color rgb="FF444444"/>
      <name val="Arial"/>
      <family val="2"/>
    </font>
    <font>
      <b/>
      <sz val="9"/>
      <color rgb="FF2980B9"/>
      <name val="Arial"/>
      <family val="2"/>
    </font>
    <font>
      <b/>
      <sz val="9"/>
      <color rgb="FFFFFFFF"/>
      <name val="Arial"/>
      <family val="2"/>
    </font>
    <font>
      <sz val="9"/>
      <name val="Arial"/>
      <family val="2"/>
    </font>
    <font>
      <i/>
      <sz val="9"/>
      <name val="Arial"/>
      <family val="2"/>
    </font>
    <font>
      <b/>
      <sz val="10"/>
      <color rgb="FFFFFFFF"/>
      <name val="Arial"/>
      <family val="2"/>
    </font>
    <font>
      <b/>
      <sz val="9"/>
      <color rgb="FF6C3483"/>
      <name val="Arial"/>
      <family val="2"/>
    </font>
    <font>
      <b/>
      <sz val="9"/>
      <name val="Arial"/>
      <family val="2"/>
    </font>
    <font>
      <b/>
      <sz val="10"/>
      <name val="Arial"/>
      <family val="2"/>
    </font>
    <font>
      <i/>
      <sz val="9"/>
      <color rgb="FF999999"/>
      <name val="Arial"/>
      <family val="2"/>
    </font>
    <font>
      <b/>
      <sz val="11"/>
      <color rgb="FF000000"/>
      <name val="Calibri"/>
      <family val="2"/>
    </font>
    <font>
      <b/>
      <sz val="11"/>
      <color rgb="FFFFFFFF"/>
      <name val="Calibri"/>
      <family val="2"/>
    </font>
    <font>
      <b/>
      <sz val="11"/>
      <color theme="1"/>
      <name val="Calibri"/>
      <family val="2"/>
    </font>
    <font>
      <sz val="8"/>
      <name val="Calibri"/>
      <family val="2"/>
      <charset val="1"/>
    </font>
  </fonts>
  <fills count="46">
    <fill>
      <patternFill patternType="none"/>
    </fill>
    <fill>
      <patternFill patternType="gray125"/>
    </fill>
    <fill>
      <patternFill patternType="solid">
        <fgColor rgb="FF1B5E20"/>
        <bgColor rgb="FF1F4E78"/>
      </patternFill>
    </fill>
    <fill>
      <patternFill patternType="solid">
        <fgColor rgb="FFE2F0D9"/>
        <bgColor rgb="FFF3F3F3"/>
      </patternFill>
    </fill>
    <fill>
      <patternFill patternType="solid">
        <fgColor rgb="FFF3F3F3"/>
        <bgColor rgb="FFF3F9EE"/>
      </patternFill>
    </fill>
    <fill>
      <patternFill patternType="solid">
        <fgColor rgb="FFFCE4D6"/>
        <bgColor rgb="FFFDE9D9"/>
      </patternFill>
    </fill>
    <fill>
      <patternFill patternType="solid">
        <fgColor rgb="FFFFF2CC"/>
        <bgColor rgb="FFFDE9D9"/>
      </patternFill>
    </fill>
    <fill>
      <patternFill patternType="solid">
        <fgColor rgb="FFFFFFFF"/>
        <bgColor rgb="FFF3F9EE"/>
      </patternFill>
    </fill>
    <fill>
      <patternFill patternType="solid">
        <fgColor rgb="FF9BBB59"/>
        <bgColor rgb="FF92D050"/>
      </patternFill>
    </fill>
    <fill>
      <patternFill patternType="solid">
        <fgColor rgb="FF92D050"/>
        <bgColor rgb="FF9BBB59"/>
      </patternFill>
    </fill>
    <fill>
      <patternFill patternType="solid">
        <fgColor rgb="FFFDE9D9"/>
        <bgColor rgb="FFFCE4D6"/>
      </patternFill>
    </fill>
    <fill>
      <patternFill patternType="solid">
        <fgColor rgb="FF8064A2"/>
        <bgColor rgb="FF7F7F7F"/>
      </patternFill>
    </fill>
    <fill>
      <patternFill patternType="solid">
        <fgColor rgb="FFE2F0D9"/>
      </patternFill>
    </fill>
    <fill>
      <patternFill patternType="solid">
        <fgColor rgb="FFFCE4D6"/>
      </patternFill>
    </fill>
    <fill>
      <patternFill patternType="solid">
        <fgColor rgb="FF2F75B5"/>
      </patternFill>
    </fill>
    <fill>
      <patternFill patternType="solid">
        <fgColor rgb="FF70AD47"/>
      </patternFill>
    </fill>
    <fill>
      <patternFill patternType="solid">
        <fgColor rgb="FFC55A11"/>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rgb="FFF8F8F8"/>
        <bgColor rgb="FFF7F9FC"/>
      </patternFill>
    </fill>
    <fill>
      <patternFill patternType="solid">
        <fgColor rgb="FFFAFAFA"/>
        <bgColor rgb="FFF7F9FC"/>
      </patternFill>
    </fill>
    <fill>
      <patternFill patternType="solid">
        <fgColor rgb="FFFFFFFF"/>
        <bgColor rgb="FFFAFAFA"/>
      </patternFill>
    </fill>
    <fill>
      <patternFill patternType="solid">
        <fgColor rgb="FFF7F9FC"/>
        <bgColor rgb="FFF8F8F8"/>
      </patternFill>
    </fill>
    <fill>
      <patternFill patternType="solid">
        <fgColor rgb="FF6C3483"/>
        <bgColor rgb="FF555555"/>
      </patternFill>
    </fill>
    <fill>
      <patternFill patternType="solid">
        <fgColor rgb="FFFEF3C7"/>
        <bgColor rgb="FFFFF2CC"/>
      </patternFill>
    </fill>
    <fill>
      <patternFill patternType="solid">
        <fgColor rgb="FF2C4A6E"/>
        <bgColor rgb="FF1E4A8A"/>
      </patternFill>
    </fill>
    <fill>
      <patternFill patternType="solid">
        <fgColor rgb="FF1F2D3D"/>
        <bgColor rgb="FF333333"/>
      </patternFill>
    </fill>
    <fill>
      <patternFill patternType="solid">
        <fgColor rgb="FF0070C0"/>
        <bgColor rgb="FF0078D4"/>
      </patternFill>
    </fill>
    <fill>
      <patternFill patternType="solid">
        <fgColor rgb="FF1E7A52"/>
        <bgColor rgb="FF008000"/>
      </patternFill>
    </fill>
    <fill>
      <patternFill patternType="solid">
        <fgColor rgb="FF0078D4"/>
        <bgColor rgb="FF0070C0"/>
      </patternFill>
    </fill>
    <fill>
      <patternFill patternType="solid">
        <fgColor rgb="FFC05000"/>
        <bgColor rgb="FFFF6600"/>
      </patternFill>
    </fill>
    <fill>
      <patternFill patternType="solid">
        <fgColor rgb="FF4B5563"/>
        <bgColor rgb="FF555555"/>
      </patternFill>
    </fill>
    <fill>
      <patternFill patternType="solid">
        <fgColor rgb="FFFFF2CC"/>
        <bgColor rgb="FFFEF3C7"/>
      </patternFill>
    </fill>
    <fill>
      <patternFill patternType="solid">
        <fgColor theme="0"/>
        <bgColor rgb="FFFDE9D9"/>
      </patternFill>
    </fill>
    <fill>
      <patternFill patternType="solid">
        <fgColor theme="0"/>
        <bgColor rgb="FFFAFAFA"/>
      </patternFill>
    </fill>
    <fill>
      <patternFill patternType="solid">
        <fgColor theme="0"/>
        <bgColor rgb="FFFEF3C7"/>
      </patternFill>
    </fill>
    <fill>
      <patternFill patternType="solid">
        <fgColor rgb="FFF7F7F7"/>
      </patternFill>
    </fill>
    <fill>
      <patternFill patternType="solid">
        <fgColor rgb="FF0F893C"/>
        <bgColor indexed="64"/>
      </patternFill>
    </fill>
    <fill>
      <patternFill patternType="solid">
        <fgColor rgb="FF0F893C"/>
        <bgColor rgb="FF0078D4"/>
      </patternFill>
    </fill>
    <fill>
      <patternFill patternType="solid">
        <fgColor theme="0" tint="-0.14999847407452621"/>
        <bgColor rgb="FFF3F3F3"/>
      </patternFill>
    </fill>
    <fill>
      <patternFill patternType="solid">
        <fgColor theme="0"/>
        <bgColor rgb="FF1F4E78"/>
      </patternFill>
    </fill>
    <fill>
      <patternFill patternType="solid">
        <fgColor theme="0"/>
        <bgColor rgb="FFF3F3F3"/>
      </patternFill>
    </fill>
    <fill>
      <patternFill patternType="solid">
        <fgColor theme="0"/>
        <bgColor rgb="FFF3F9EE"/>
      </patternFill>
    </fill>
    <fill>
      <patternFill patternType="solid">
        <fgColor rgb="FF1B5E20"/>
        <bgColor indexed="64"/>
      </patternFill>
    </fill>
    <fill>
      <patternFill patternType="solid">
        <fgColor rgb="FFE2F0D9"/>
        <bgColor indexed="64"/>
      </patternFill>
    </fill>
  </fills>
  <borders count="16">
    <border>
      <left/>
      <right/>
      <top/>
      <bottom/>
      <diagonal/>
    </border>
    <border>
      <left/>
      <right/>
      <top/>
      <bottom style="thin">
        <color rgb="FFC9C9C9"/>
      </bottom>
      <diagonal/>
    </border>
    <border>
      <left/>
      <right/>
      <top style="thin">
        <color rgb="FFC9C9C9"/>
      </top>
      <bottom style="thin">
        <color rgb="FFC9C9C9"/>
      </bottom>
      <diagonal/>
    </border>
    <border>
      <left/>
      <right/>
      <top style="medium">
        <color rgb="FF1F4E78"/>
      </top>
      <bottom style="medium">
        <color rgb="FF1F4E78"/>
      </bottom>
      <diagonal/>
    </border>
    <border>
      <left style="thin">
        <color rgb="FFC9C9C9"/>
      </left>
      <right style="thin">
        <color rgb="FFC9C9C9"/>
      </right>
      <top/>
      <bottom/>
      <diagonal/>
    </border>
    <border>
      <left/>
      <right/>
      <top/>
      <bottom style="thin">
        <color auto="1"/>
      </bottom>
      <diagonal/>
    </border>
    <border>
      <left/>
      <right/>
      <top style="thin">
        <color auto="1"/>
      </top>
      <bottom style="thin">
        <color auto="1"/>
      </bottom>
      <diagonal/>
    </border>
    <border>
      <left/>
      <right/>
      <top style="thin">
        <color rgb="FFC9C9C9"/>
      </top>
      <bottom/>
      <diagonal/>
    </border>
    <border>
      <left/>
      <right/>
      <top/>
      <bottom style="thin">
        <color rgb="FFD9D9D9"/>
      </bottom>
      <diagonal/>
    </border>
    <border>
      <left style="thin">
        <color rgb="FFFFFFFF"/>
      </left>
      <right style="thin">
        <color rgb="FFFFFFFF"/>
      </right>
      <top/>
      <bottom/>
      <diagonal/>
    </border>
    <border>
      <left style="thin">
        <color rgb="FFD0D7E3"/>
      </left>
      <right style="thin">
        <color rgb="FFD0D7E3"/>
      </right>
      <top style="thin">
        <color rgb="FFD0D7E3"/>
      </top>
      <bottom style="thin">
        <color rgb="FFD0D7E3"/>
      </bottom>
      <diagonal/>
    </border>
    <border>
      <left style="thin">
        <color rgb="FFD0D7E3"/>
      </left>
      <right/>
      <top style="thin">
        <color rgb="FFD0D7E3"/>
      </top>
      <bottom style="thin">
        <color rgb="FFD0D7E3"/>
      </bottom>
      <diagonal/>
    </border>
    <border>
      <left style="thin">
        <color rgb="FFC9C9C9"/>
      </left>
      <right/>
      <top style="thin">
        <color rgb="FFD0D7E3"/>
      </top>
      <bottom style="thin">
        <color rgb="FFD0D7E3"/>
      </bottom>
      <diagonal/>
    </border>
    <border>
      <left/>
      <right/>
      <top style="thin">
        <color rgb="FFD0D7E3"/>
      </top>
      <bottom style="thin">
        <color rgb="FFD0D7E3"/>
      </bottom>
      <diagonal/>
    </border>
    <border>
      <left/>
      <right style="thin">
        <color rgb="FFD0D7E3"/>
      </right>
      <top style="thin">
        <color rgb="FFD0D7E3"/>
      </top>
      <bottom style="thin">
        <color rgb="FFD0D7E3"/>
      </bottom>
      <diagonal/>
    </border>
    <border>
      <left/>
      <right/>
      <top/>
      <bottom style="thin">
        <color theme="1" tint="0.499984740745262"/>
      </bottom>
      <diagonal/>
    </border>
  </borders>
  <cellStyleXfs count="4">
    <xf numFmtId="0" fontId="0" fillId="0" borderId="0"/>
    <xf numFmtId="9" fontId="1" fillId="0" borderId="0" applyBorder="0" applyAlignment="0" applyProtection="0"/>
    <xf numFmtId="0" fontId="16" fillId="0" borderId="0"/>
    <xf numFmtId="43" fontId="16" fillId="0" borderId="0" applyFont="0" applyFill="0" applyBorder="0" applyAlignment="0" applyProtection="0"/>
  </cellStyleXfs>
  <cellXfs count="195">
    <xf numFmtId="0" fontId="0" fillId="0" borderId="0" xfId="0"/>
    <xf numFmtId="0" fontId="0" fillId="0" borderId="1" xfId="0" applyBorder="1"/>
    <xf numFmtId="0" fontId="3" fillId="0" borderId="0" xfId="0" applyFont="1"/>
    <xf numFmtId="0" fontId="0" fillId="0" borderId="0" xfId="0" applyAlignment="1">
      <alignment horizontal="left" vertical="center" wrapText="1"/>
    </xf>
    <xf numFmtId="0" fontId="3" fillId="0" borderId="0" xfId="0" applyFont="1" applyAlignment="1">
      <alignment horizontal="left" vertical="center" wrapText="1"/>
    </xf>
    <xf numFmtId="0" fontId="4" fillId="0" borderId="0" xfId="0" applyFont="1"/>
    <xf numFmtId="0" fontId="6"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164" fontId="9" fillId="0" borderId="1" xfId="0" applyNumberFormat="1" applyFont="1" applyBorder="1" applyAlignment="1">
      <alignment horizontal="right" vertical="center"/>
    </xf>
    <xf numFmtId="165" fontId="9" fillId="0" borderId="1" xfId="0" applyNumberFormat="1" applyFont="1" applyBorder="1" applyAlignment="1">
      <alignment horizontal="right" vertical="center"/>
    </xf>
    <xf numFmtId="166" fontId="9" fillId="0" borderId="1" xfId="0" applyNumberFormat="1" applyFont="1" applyBorder="1" applyAlignment="1">
      <alignment horizontal="right" vertical="center"/>
    </xf>
    <xf numFmtId="165" fontId="9" fillId="0" borderId="1" xfId="0" applyNumberFormat="1" applyFont="1" applyBorder="1" applyAlignment="1">
      <alignment horizontal="right" vertical="center" wrapText="1"/>
    </xf>
    <xf numFmtId="167" fontId="9" fillId="0" borderId="1" xfId="0" applyNumberFormat="1" applyFont="1" applyBorder="1" applyAlignment="1">
      <alignment horizontal="right" vertical="center" wrapText="1"/>
    </xf>
    <xf numFmtId="1" fontId="9" fillId="0" borderId="1" xfId="0" applyNumberFormat="1" applyFont="1" applyBorder="1" applyAlignment="1">
      <alignment horizontal="right" vertical="center"/>
    </xf>
    <xf numFmtId="0" fontId="6" fillId="3"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6" borderId="1" xfId="0" applyFont="1" applyFill="1" applyBorder="1" applyAlignment="1">
      <alignment horizontal="right" vertical="center"/>
    </xf>
    <xf numFmtId="0" fontId="8" fillId="0" borderId="1" xfId="0" applyFont="1" applyBorder="1" applyAlignment="1">
      <alignment horizontal="right" vertical="center"/>
    </xf>
    <xf numFmtId="1" fontId="11" fillId="6" borderId="1" xfId="0" applyNumberFormat="1" applyFont="1" applyFill="1" applyBorder="1" applyAlignment="1">
      <alignment horizontal="right" vertical="center"/>
    </xf>
    <xf numFmtId="168" fontId="11" fillId="6" borderId="1" xfId="0" applyNumberFormat="1" applyFont="1" applyFill="1" applyBorder="1" applyAlignment="1">
      <alignment horizontal="right" vertical="center"/>
    </xf>
    <xf numFmtId="167" fontId="11" fillId="6" borderId="1" xfId="0" applyNumberFormat="1" applyFont="1" applyFill="1" applyBorder="1" applyAlignment="1">
      <alignment horizontal="right" vertical="center"/>
    </xf>
    <xf numFmtId="169" fontId="11" fillId="6" borderId="1" xfId="0" applyNumberFormat="1" applyFont="1" applyFill="1" applyBorder="1" applyAlignment="1">
      <alignment horizontal="right" vertical="center"/>
    </xf>
    <xf numFmtId="165" fontId="11" fillId="6" borderId="1" xfId="0" applyNumberFormat="1" applyFont="1" applyFill="1" applyBorder="1" applyAlignment="1">
      <alignment horizontal="right" vertical="center"/>
    </xf>
    <xf numFmtId="3" fontId="11" fillId="6" borderId="1" xfId="0" applyNumberFormat="1" applyFont="1" applyFill="1" applyBorder="1" applyAlignment="1">
      <alignment horizontal="right" vertical="center"/>
    </xf>
    <xf numFmtId="0" fontId="12" fillId="0" borderId="0" xfId="0" applyFont="1"/>
    <xf numFmtId="0" fontId="0" fillId="4" borderId="0" xfId="0" applyFill="1" applyAlignment="1">
      <alignment horizontal="left" vertical="center" wrapText="1"/>
    </xf>
    <xf numFmtId="0" fontId="7" fillId="4" borderId="0" xfId="0" applyFont="1" applyFill="1" applyAlignment="1">
      <alignment horizontal="left" vertical="center" wrapText="1"/>
    </xf>
    <xf numFmtId="0" fontId="8" fillId="0" borderId="0" xfId="0" applyFont="1" applyAlignment="1">
      <alignment horizontal="left" vertical="center" wrapText="1"/>
    </xf>
    <xf numFmtId="167" fontId="11" fillId="6" borderId="4" xfId="0" applyNumberFormat="1" applyFont="1" applyFill="1" applyBorder="1" applyAlignment="1">
      <alignment horizontal="right" vertical="center"/>
    </xf>
    <xf numFmtId="169" fontId="11" fillId="6" borderId="4" xfId="0" applyNumberFormat="1" applyFont="1" applyFill="1" applyBorder="1" applyAlignment="1">
      <alignment horizontal="right" vertical="center"/>
    </xf>
    <xf numFmtId="170" fontId="11" fillId="6" borderId="4" xfId="0" applyNumberFormat="1" applyFont="1" applyFill="1" applyBorder="1" applyAlignment="1">
      <alignment horizontal="right" vertical="center"/>
    </xf>
    <xf numFmtId="0" fontId="11" fillId="6" borderId="4" xfId="0" applyFont="1" applyFill="1" applyBorder="1" applyAlignment="1">
      <alignment horizontal="right" vertical="center"/>
    </xf>
    <xf numFmtId="0" fontId="8" fillId="0" borderId="0" xfId="0" applyFont="1" applyAlignment="1">
      <alignment vertical="center" wrapText="1"/>
    </xf>
    <xf numFmtId="169" fontId="9" fillId="0" borderId="1" xfId="0" applyNumberFormat="1" applyFont="1" applyBorder="1" applyAlignment="1">
      <alignment horizontal="right" vertical="center"/>
    </xf>
    <xf numFmtId="167" fontId="9" fillId="0" borderId="1" xfId="0" applyNumberFormat="1" applyFont="1" applyBorder="1" applyAlignment="1">
      <alignment horizontal="right" vertical="center"/>
    </xf>
    <xf numFmtId="169" fontId="9" fillId="0" borderId="1" xfId="0" applyNumberFormat="1" applyFont="1" applyBorder="1" applyAlignment="1">
      <alignment horizontal="right" vertical="center" wrapText="1"/>
    </xf>
    <xf numFmtId="168" fontId="9" fillId="0" borderId="1" xfId="0" applyNumberFormat="1" applyFont="1" applyBorder="1" applyAlignment="1">
      <alignment horizontal="right" vertical="center" wrapText="1"/>
    </xf>
    <xf numFmtId="164" fontId="9" fillId="0" borderId="1" xfId="0" applyNumberFormat="1" applyFont="1" applyBorder="1" applyAlignment="1">
      <alignment horizontal="right" vertical="center" wrapText="1"/>
    </xf>
    <xf numFmtId="166" fontId="9" fillId="0" borderId="1" xfId="0" applyNumberFormat="1" applyFont="1" applyBorder="1" applyAlignment="1">
      <alignment horizontal="right" vertical="center" wrapText="1"/>
    </xf>
    <xf numFmtId="165" fontId="8" fillId="0" borderId="1" xfId="0" applyNumberFormat="1" applyFont="1" applyBorder="1" applyAlignment="1">
      <alignment horizontal="right" vertical="center"/>
    </xf>
    <xf numFmtId="1" fontId="8" fillId="0" borderId="1" xfId="0" applyNumberFormat="1" applyFont="1" applyBorder="1" applyAlignment="1">
      <alignment horizontal="right" vertical="center" wrapText="1"/>
    </xf>
    <xf numFmtId="0" fontId="8" fillId="0" borderId="1" xfId="0" applyFont="1" applyBorder="1" applyAlignment="1">
      <alignment vertical="top" wrapText="1"/>
    </xf>
    <xf numFmtId="0" fontId="7" fillId="4" borderId="1" xfId="0" applyFont="1" applyFill="1" applyBorder="1" applyAlignment="1">
      <alignment vertical="top" wrapText="1"/>
    </xf>
    <xf numFmtId="0" fontId="13" fillId="7" borderId="0" xfId="0" applyFont="1" applyFill="1" applyAlignment="1">
      <alignment horizontal="left" vertical="top"/>
    </xf>
    <xf numFmtId="0" fontId="14" fillId="7" borderId="0" xfId="0" applyFont="1" applyFill="1" applyAlignment="1">
      <alignment horizontal="left" vertical="top"/>
    </xf>
    <xf numFmtId="0" fontId="13" fillId="7" borderId="5" xfId="0" applyFont="1" applyFill="1" applyBorder="1" applyAlignment="1">
      <alignment horizontal="left" vertical="top"/>
    </xf>
    <xf numFmtId="0" fontId="15" fillId="7" borderId="6" xfId="0" applyFont="1" applyFill="1" applyBorder="1" applyAlignment="1">
      <alignment horizontal="left" vertical="top"/>
    </xf>
    <xf numFmtId="0" fontId="15" fillId="7" borderId="0" xfId="0" applyFont="1" applyFill="1" applyAlignment="1">
      <alignment horizontal="left" vertical="top"/>
    </xf>
    <xf numFmtId="0" fontId="13" fillId="8" borderId="0" xfId="0" applyFont="1" applyFill="1" applyAlignment="1">
      <alignment horizontal="left" vertical="top"/>
    </xf>
    <xf numFmtId="0" fontId="13" fillId="7" borderId="0" xfId="0" applyFont="1" applyFill="1" applyAlignment="1">
      <alignment horizontal="right" vertical="top"/>
    </xf>
    <xf numFmtId="0" fontId="13" fillId="9" borderId="0" xfId="0" applyFont="1" applyFill="1" applyAlignment="1">
      <alignment horizontal="left" vertical="top"/>
    </xf>
    <xf numFmtId="0" fontId="13" fillId="10" borderId="0" xfId="0" applyFont="1" applyFill="1" applyAlignment="1">
      <alignment horizontal="left" vertical="top"/>
    </xf>
    <xf numFmtId="0" fontId="13" fillId="11" borderId="0" xfId="0" applyFont="1" applyFill="1" applyAlignment="1">
      <alignment horizontal="left" vertical="top"/>
    </xf>
    <xf numFmtId="9" fontId="13" fillId="7" borderId="0" xfId="0" applyNumberFormat="1" applyFont="1" applyFill="1" applyAlignment="1">
      <alignment horizontal="left" vertical="top"/>
    </xf>
    <xf numFmtId="0" fontId="13" fillId="0" borderId="0" xfId="0" applyFont="1" applyAlignment="1">
      <alignment horizontal="left" vertical="top"/>
    </xf>
    <xf numFmtId="10" fontId="13" fillId="9" borderId="0" xfId="0" applyNumberFormat="1" applyFont="1" applyFill="1" applyAlignment="1">
      <alignment horizontal="left" vertical="top"/>
    </xf>
    <xf numFmtId="0" fontId="13" fillId="7" borderId="0" xfId="0" applyFont="1" applyFill="1" applyAlignment="1">
      <alignment horizontal="left" vertical="top" wrapText="1"/>
    </xf>
    <xf numFmtId="10" fontId="13" fillId="0" borderId="0" xfId="0" applyNumberFormat="1" applyFont="1" applyAlignment="1">
      <alignment horizontal="left" vertical="top"/>
    </xf>
    <xf numFmtId="0" fontId="18" fillId="0" borderId="0" xfId="0" applyFont="1"/>
    <xf numFmtId="0" fontId="20" fillId="3" borderId="1" xfId="0" applyFont="1" applyFill="1" applyBorder="1" applyAlignment="1">
      <alignment horizontal="center" vertical="center" wrapText="1"/>
    </xf>
    <xf numFmtId="0" fontId="18" fillId="0" borderId="1" xfId="0" applyFont="1" applyBorder="1"/>
    <xf numFmtId="0" fontId="21" fillId="0" borderId="1" xfId="0" applyFont="1" applyBorder="1" applyAlignment="1">
      <alignment horizontal="left" vertical="center" wrapText="1"/>
    </xf>
    <xf numFmtId="169" fontId="22" fillId="0" borderId="1" xfId="0" applyNumberFormat="1" applyFont="1" applyBorder="1" applyAlignment="1">
      <alignment horizontal="right" vertical="center" wrapText="1"/>
    </xf>
    <xf numFmtId="165" fontId="22" fillId="0" borderId="1" xfId="0" applyNumberFormat="1" applyFont="1" applyBorder="1" applyAlignment="1">
      <alignment horizontal="right" vertical="center" wrapText="1"/>
    </xf>
    <xf numFmtId="165" fontId="22" fillId="0" borderId="1" xfId="0" applyNumberFormat="1" applyFont="1" applyBorder="1" applyAlignment="1">
      <alignment horizontal="right" vertical="center"/>
    </xf>
    <xf numFmtId="171" fontId="22" fillId="0" borderId="1" xfId="0" applyNumberFormat="1" applyFont="1" applyBorder="1" applyAlignment="1">
      <alignment horizontal="right" vertical="center" wrapText="1"/>
    </xf>
    <xf numFmtId="172" fontId="22" fillId="0" borderId="1" xfId="0" applyNumberFormat="1" applyFont="1" applyBorder="1" applyAlignment="1">
      <alignment horizontal="right" vertical="center"/>
    </xf>
    <xf numFmtId="0" fontId="23" fillId="4" borderId="1" xfId="0" applyFont="1" applyFill="1" applyBorder="1" applyAlignment="1">
      <alignment horizontal="left" vertical="center" wrapText="1"/>
    </xf>
    <xf numFmtId="169" fontId="22" fillId="0" borderId="1" xfId="0" applyNumberFormat="1" applyFont="1" applyBorder="1" applyAlignment="1">
      <alignment horizontal="right" vertical="center"/>
    </xf>
    <xf numFmtId="171" fontId="22" fillId="0" borderId="1" xfId="0" applyNumberFormat="1" applyFont="1" applyBorder="1" applyAlignment="1">
      <alignment horizontal="right" vertical="center"/>
    </xf>
    <xf numFmtId="165" fontId="21"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169" fontId="21" fillId="0" borderId="1" xfId="0" applyNumberFormat="1" applyFont="1" applyBorder="1" applyAlignment="1">
      <alignment horizontal="right" vertical="center"/>
    </xf>
    <xf numFmtId="172" fontId="21" fillId="0" borderId="1" xfId="0" applyNumberFormat="1" applyFont="1" applyBorder="1" applyAlignment="1">
      <alignment horizontal="right" vertical="center"/>
    </xf>
    <xf numFmtId="172" fontId="18" fillId="0" borderId="1" xfId="0" applyNumberFormat="1" applyFont="1" applyBorder="1"/>
    <xf numFmtId="0" fontId="24" fillId="12" borderId="8" xfId="0" applyFont="1" applyFill="1" applyBorder="1" applyAlignment="1">
      <alignment horizontal="center" vertical="center" wrapText="1"/>
    </xf>
    <xf numFmtId="0" fontId="24" fillId="13" borderId="8" xfId="0" applyFont="1" applyFill="1" applyBorder="1" applyAlignment="1">
      <alignment horizontal="center" vertical="center" wrapText="1"/>
    </xf>
    <xf numFmtId="167" fontId="25" fillId="0" borderId="8" xfId="1" applyNumberFormat="1" applyFont="1" applyBorder="1" applyAlignment="1">
      <alignment horizontal="right" vertical="center"/>
    </xf>
    <xf numFmtId="169" fontId="21" fillId="0" borderId="1" xfId="0" applyNumberFormat="1" applyFont="1" applyBorder="1" applyAlignment="1">
      <alignment horizontal="right" vertical="center" wrapText="1"/>
    </xf>
    <xf numFmtId="165" fontId="21" fillId="0" borderId="1" xfId="0" applyNumberFormat="1" applyFont="1" applyBorder="1" applyAlignment="1">
      <alignment horizontal="right" vertical="center" wrapText="1"/>
    </xf>
    <xf numFmtId="168" fontId="21" fillId="0" borderId="1" xfId="0" applyNumberFormat="1" applyFont="1" applyBorder="1" applyAlignment="1">
      <alignment horizontal="right" vertical="center"/>
    </xf>
    <xf numFmtId="0" fontId="19" fillId="17" borderId="0" xfId="0" applyFont="1" applyFill="1" applyAlignment="1">
      <alignment vertical="center" wrapText="1"/>
    </xf>
    <xf numFmtId="0" fontId="24" fillId="18" borderId="8" xfId="0" applyFont="1" applyFill="1" applyBorder="1" applyAlignment="1">
      <alignment horizontal="center" vertical="center" wrapText="1"/>
    </xf>
    <xf numFmtId="0" fontId="0" fillId="19" borderId="0" xfId="0" applyFill="1"/>
    <xf numFmtId="0" fontId="31" fillId="22" borderId="10" xfId="0" applyFont="1" applyFill="1" applyBorder="1" applyAlignment="1">
      <alignment horizontal="left" vertical="center" wrapText="1"/>
    </xf>
    <xf numFmtId="172" fontId="31" fillId="22" borderId="10" xfId="0" applyNumberFormat="1" applyFont="1" applyFill="1" applyBorder="1" applyAlignment="1">
      <alignment horizontal="right" vertical="center"/>
    </xf>
    <xf numFmtId="0" fontId="32" fillId="23" borderId="10" xfId="0" applyFont="1" applyFill="1" applyBorder="1" applyAlignment="1">
      <alignment horizontal="left" vertical="center" wrapText="1"/>
    </xf>
    <xf numFmtId="0" fontId="32" fillId="23" borderId="10" xfId="0" applyFont="1" applyFill="1" applyBorder="1" applyAlignment="1">
      <alignment horizontal="right" vertical="center"/>
    </xf>
    <xf numFmtId="172" fontId="32" fillId="23" borderId="10" xfId="0" applyNumberFormat="1" applyFont="1" applyFill="1" applyBorder="1" applyAlignment="1">
      <alignment horizontal="right" vertical="center"/>
    </xf>
    <xf numFmtId="0" fontId="32" fillId="22" borderId="10" xfId="0" applyFont="1" applyFill="1" applyBorder="1" applyAlignment="1">
      <alignment horizontal="left" vertical="center" wrapText="1"/>
    </xf>
    <xf numFmtId="0" fontId="31" fillId="23" borderId="10" xfId="0" applyFont="1" applyFill="1" applyBorder="1" applyAlignment="1">
      <alignment horizontal="left" vertical="center" wrapText="1"/>
    </xf>
    <xf numFmtId="0" fontId="31" fillId="23" borderId="10" xfId="0" applyFont="1" applyFill="1" applyBorder="1" applyAlignment="1">
      <alignment horizontal="right" vertical="center"/>
    </xf>
    <xf numFmtId="172" fontId="31" fillId="23" borderId="10" xfId="0" applyNumberFormat="1" applyFont="1" applyFill="1" applyBorder="1" applyAlignment="1">
      <alignment horizontal="right" vertical="center"/>
    </xf>
    <xf numFmtId="0" fontId="30" fillId="24" borderId="9" xfId="0" applyFont="1" applyFill="1" applyBorder="1" applyAlignment="1">
      <alignment horizontal="center" vertical="center" wrapText="1"/>
    </xf>
    <xf numFmtId="0" fontId="35" fillId="25" borderId="10" xfId="0" applyFont="1" applyFill="1" applyBorder="1" applyAlignment="1">
      <alignment horizontal="left" vertical="center" wrapText="1"/>
    </xf>
    <xf numFmtId="0" fontId="35" fillId="25" borderId="10" xfId="0" applyFont="1" applyFill="1" applyBorder="1" applyAlignment="1">
      <alignment horizontal="right" vertical="center"/>
    </xf>
    <xf numFmtId="172" fontId="33" fillId="24" borderId="10" xfId="0" applyNumberFormat="1" applyFont="1" applyFill="1" applyBorder="1" applyAlignment="1">
      <alignment horizontal="right" vertical="center"/>
    </xf>
    <xf numFmtId="173" fontId="33" fillId="24" borderId="10" xfId="0" applyNumberFormat="1" applyFont="1" applyFill="1" applyBorder="1" applyAlignment="1">
      <alignment horizontal="right" vertical="center"/>
    </xf>
    <xf numFmtId="0" fontId="30" fillId="27" borderId="10" xfId="0" applyFont="1" applyFill="1" applyBorder="1" applyAlignment="1">
      <alignment horizontal="center" vertical="center"/>
    </xf>
    <xf numFmtId="0" fontId="33" fillId="28" borderId="10" xfId="0" applyFont="1" applyFill="1" applyBorder="1" applyAlignment="1">
      <alignment horizontal="left" vertical="center"/>
    </xf>
    <xf numFmtId="0" fontId="36" fillId="23" borderId="10" xfId="0" applyFont="1" applyFill="1" applyBorder="1" applyAlignment="1">
      <alignment horizontal="center" vertical="center"/>
    </xf>
    <xf numFmtId="0" fontId="33" fillId="29" borderId="10" xfId="0" applyFont="1" applyFill="1" applyBorder="1" applyAlignment="1">
      <alignment horizontal="left" vertical="center"/>
    </xf>
    <xf numFmtId="0" fontId="36" fillId="22" borderId="10" xfId="0" applyFont="1" applyFill="1" applyBorder="1" applyAlignment="1">
      <alignment horizontal="center" vertical="center"/>
    </xf>
    <xf numFmtId="0" fontId="33" fillId="30" borderId="10" xfId="0" applyFont="1" applyFill="1" applyBorder="1" applyAlignment="1">
      <alignment horizontal="left" vertical="center"/>
    </xf>
    <xf numFmtId="0" fontId="33" fillId="31" borderId="10" xfId="0" applyFont="1" applyFill="1" applyBorder="1" applyAlignment="1">
      <alignment horizontal="left" vertical="center"/>
    </xf>
    <xf numFmtId="0" fontId="33" fillId="32" borderId="10" xfId="0" applyFont="1" applyFill="1" applyBorder="1" applyAlignment="1">
      <alignment horizontal="left" vertical="center"/>
    </xf>
    <xf numFmtId="0" fontId="38" fillId="0" borderId="0" xfId="0" applyFont="1" applyAlignment="1">
      <alignment horizontal="left" vertical="center" wrapText="1"/>
    </xf>
    <xf numFmtId="174" fontId="11" fillId="6" borderId="4" xfId="0" applyNumberFormat="1" applyFont="1" applyFill="1" applyBorder="1" applyAlignment="1">
      <alignment horizontal="right" vertical="center"/>
    </xf>
    <xf numFmtId="167" fontId="11" fillId="34" borderId="0" xfId="0" applyNumberFormat="1" applyFont="1" applyFill="1" applyAlignment="1">
      <alignment horizontal="right" vertical="center"/>
    </xf>
    <xf numFmtId="173" fontId="1" fillId="35" borderId="0" xfId="0" applyNumberFormat="1" applyFont="1" applyFill="1" applyAlignment="1">
      <alignment horizontal="right" vertical="center"/>
    </xf>
    <xf numFmtId="174" fontId="11" fillId="34" borderId="0" xfId="0" applyNumberFormat="1" applyFont="1" applyFill="1" applyAlignment="1">
      <alignment horizontal="right" vertical="center"/>
    </xf>
    <xf numFmtId="0" fontId="37" fillId="36" borderId="0" xfId="0" applyFont="1" applyFill="1" applyAlignment="1">
      <alignment vertical="center"/>
    </xf>
    <xf numFmtId="0" fontId="32" fillId="22" borderId="10" xfId="0" applyFont="1" applyFill="1" applyBorder="1" applyAlignment="1">
      <alignment horizontal="left" vertical="center" wrapText="1" indent="1"/>
    </xf>
    <xf numFmtId="8" fontId="0" fillId="0" borderId="0" xfId="0" applyNumberFormat="1"/>
    <xf numFmtId="0" fontId="0" fillId="37" borderId="0" xfId="0" applyFill="1" applyAlignment="1">
      <alignment vertical="top" wrapText="1"/>
    </xf>
    <xf numFmtId="0" fontId="39" fillId="38" borderId="0" xfId="0" applyFont="1" applyFill="1" applyAlignment="1">
      <alignment horizontal="center" vertical="center" wrapText="1"/>
    </xf>
    <xf numFmtId="0" fontId="30" fillId="39" borderId="9" xfId="0" applyFont="1" applyFill="1" applyBorder="1" applyAlignment="1">
      <alignment horizontal="center" vertical="center" wrapText="1"/>
    </xf>
    <xf numFmtId="172" fontId="33" fillId="39" borderId="10" xfId="0" applyNumberFormat="1" applyFont="1" applyFill="1" applyBorder="1" applyAlignment="1">
      <alignment horizontal="right" vertical="center"/>
    </xf>
    <xf numFmtId="173" fontId="33" fillId="39" borderId="10" xfId="0" applyNumberFormat="1" applyFont="1" applyFill="1" applyBorder="1" applyAlignment="1">
      <alignment horizontal="right" vertical="center"/>
    </xf>
    <xf numFmtId="175" fontId="31" fillId="22" borderId="10" xfId="0" applyNumberFormat="1" applyFont="1" applyFill="1" applyBorder="1" applyAlignment="1">
      <alignment horizontal="right" vertical="center"/>
    </xf>
    <xf numFmtId="175" fontId="32" fillId="23" borderId="10" xfId="0" applyNumberFormat="1" applyFont="1" applyFill="1" applyBorder="1" applyAlignment="1">
      <alignment horizontal="right" vertical="center"/>
    </xf>
    <xf numFmtId="175" fontId="35" fillId="25" borderId="10" xfId="0" applyNumberFormat="1" applyFont="1" applyFill="1" applyBorder="1" applyAlignment="1">
      <alignment horizontal="right" vertical="center"/>
    </xf>
    <xf numFmtId="175" fontId="31" fillId="23" borderId="10" xfId="0" applyNumberFormat="1" applyFont="1" applyFill="1" applyBorder="1" applyAlignment="1">
      <alignment horizontal="right" vertical="center"/>
    </xf>
    <xf numFmtId="2" fontId="31" fillId="22" borderId="10" xfId="0" applyNumberFormat="1" applyFont="1" applyFill="1" applyBorder="1" applyAlignment="1">
      <alignment horizontal="right" vertical="center" wrapText="1"/>
    </xf>
    <xf numFmtId="2" fontId="31" fillId="23" borderId="10" xfId="0" applyNumberFormat="1" applyFont="1" applyFill="1" applyBorder="1" applyAlignment="1">
      <alignment horizontal="right" vertical="center" wrapText="1"/>
    </xf>
    <xf numFmtId="175" fontId="31" fillId="22" borderId="10" xfId="0" applyNumberFormat="1" applyFont="1" applyFill="1" applyBorder="1" applyAlignment="1">
      <alignment horizontal="right" vertical="center" wrapText="1"/>
    </xf>
    <xf numFmtId="175" fontId="31" fillId="23" borderId="10" xfId="0" applyNumberFormat="1" applyFont="1" applyFill="1" applyBorder="1" applyAlignment="1">
      <alignment horizontal="right" vertical="center" wrapText="1"/>
    </xf>
    <xf numFmtId="175" fontId="31" fillId="22" borderId="10" xfId="0" applyNumberFormat="1" applyFont="1" applyFill="1" applyBorder="1" applyAlignment="1">
      <alignment horizontal="right" vertical="center" wrapText="1" indent="1"/>
    </xf>
    <xf numFmtId="0" fontId="32" fillId="23" borderId="10" xfId="0" applyFont="1" applyFill="1" applyBorder="1" applyAlignment="1">
      <alignment horizontal="left" vertical="center" wrapText="1" indent="1"/>
    </xf>
    <xf numFmtId="0" fontId="31" fillId="23" borderId="11" xfId="0" applyFont="1" applyFill="1" applyBorder="1" applyAlignment="1">
      <alignment vertical="center"/>
    </xf>
    <xf numFmtId="0" fontId="31" fillId="22" borderId="11" xfId="0" applyFont="1" applyFill="1" applyBorder="1" applyAlignment="1">
      <alignment vertical="center"/>
    </xf>
    <xf numFmtId="0" fontId="30" fillId="27" borderId="10" xfId="0" applyFont="1" applyFill="1" applyBorder="1" applyAlignment="1">
      <alignment vertical="center"/>
    </xf>
    <xf numFmtId="174" fontId="40" fillId="0" borderId="0" xfId="0" applyNumberFormat="1" applyFont="1"/>
    <xf numFmtId="166" fontId="9" fillId="0" borderId="0" xfId="0" applyNumberFormat="1" applyFont="1" applyAlignment="1">
      <alignment horizontal="right" vertical="center" wrapText="1"/>
    </xf>
    <xf numFmtId="0" fontId="5" fillId="41" borderId="0" xfId="0" applyFont="1" applyFill="1" applyAlignment="1">
      <alignment vertical="center" wrapText="1"/>
    </xf>
    <xf numFmtId="0" fontId="6" fillId="42" borderId="0" xfId="0" applyFont="1" applyFill="1" applyAlignment="1">
      <alignment horizontal="center" vertical="center" wrapText="1"/>
    </xf>
    <xf numFmtId="0" fontId="7" fillId="43" borderId="0" xfId="0" applyFont="1" applyFill="1" applyAlignment="1">
      <alignment horizontal="left" vertical="center" wrapText="1"/>
    </xf>
    <xf numFmtId="0" fontId="2" fillId="44" borderId="0" xfId="0" applyFont="1" applyFill="1" applyAlignment="1">
      <alignment horizontal="left" vertical="center" wrapText="1"/>
    </xf>
    <xf numFmtId="0" fontId="0" fillId="44" borderId="0" xfId="0" applyFill="1"/>
    <xf numFmtId="0" fontId="4" fillId="45" borderId="0" xfId="0" applyFont="1" applyFill="1" applyAlignment="1">
      <alignment horizontal="center"/>
    </xf>
    <xf numFmtId="44" fontId="0" fillId="19" borderId="0" xfId="0" applyNumberFormat="1" applyFill="1"/>
    <xf numFmtId="172" fontId="0" fillId="19" borderId="0" xfId="0" applyNumberFormat="1" applyFill="1"/>
    <xf numFmtId="176" fontId="11" fillId="6" borderId="1" xfId="3" applyNumberFormat="1" applyFont="1" applyFill="1" applyBorder="1" applyAlignment="1">
      <alignment horizontal="right" vertical="center"/>
    </xf>
    <xf numFmtId="177" fontId="11" fillId="6" borderId="1" xfId="3" applyNumberFormat="1" applyFont="1" applyFill="1" applyBorder="1" applyAlignment="1">
      <alignment horizontal="right" vertical="center"/>
    </xf>
    <xf numFmtId="177" fontId="0" fillId="0" borderId="0" xfId="0" applyNumberFormat="1"/>
    <xf numFmtId="0" fontId="0" fillId="0" borderId="15" xfId="0" applyBorder="1" applyAlignment="1">
      <alignment horizontal="left"/>
    </xf>
    <xf numFmtId="165" fontId="9" fillId="0" borderId="15" xfId="0" applyNumberFormat="1" applyFont="1" applyBorder="1"/>
    <xf numFmtId="0" fontId="5" fillId="2" borderId="3" xfId="0" applyFont="1" applyFill="1" applyBorder="1" applyAlignment="1">
      <alignment horizontal="left" vertical="center" wrapText="1"/>
    </xf>
    <xf numFmtId="0" fontId="2" fillId="2" borderId="0" xfId="0" applyFont="1" applyFill="1" applyAlignment="1">
      <alignment horizontal="left" vertical="center" wrapText="1"/>
    </xf>
    <xf numFmtId="0" fontId="37" fillId="33" borderId="12" xfId="0" applyFont="1" applyFill="1" applyBorder="1" applyAlignment="1">
      <alignment horizontal="left" vertical="center"/>
    </xf>
    <xf numFmtId="0" fontId="37" fillId="33" borderId="13" xfId="0" applyFont="1" applyFill="1" applyBorder="1" applyAlignment="1">
      <alignment horizontal="left" vertical="center"/>
    </xf>
    <xf numFmtId="0" fontId="37" fillId="33" borderId="14" xfId="0" applyFont="1" applyFill="1" applyBorder="1" applyAlignment="1">
      <alignment horizontal="left" vertical="center"/>
    </xf>
    <xf numFmtId="0" fontId="0" fillId="5" borderId="1" xfId="0" applyFill="1" applyBorder="1" applyAlignment="1">
      <alignment horizontal="left" vertical="center" wrapText="1"/>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1" fillId="23" borderId="11" xfId="0" applyFont="1" applyFill="1" applyBorder="1" applyAlignment="1">
      <alignment horizontal="left" vertical="center"/>
    </xf>
    <xf numFmtId="0" fontId="31" fillId="23" borderId="13" xfId="0" applyFont="1" applyFill="1" applyBorder="1" applyAlignment="1">
      <alignment horizontal="left" vertical="center"/>
    </xf>
    <xf numFmtId="0" fontId="30" fillId="27" borderId="11" xfId="0" applyFont="1" applyFill="1" applyBorder="1" applyAlignment="1">
      <alignment horizontal="left" vertical="center"/>
    </xf>
    <xf numFmtId="0" fontId="30" fillId="27" borderId="13" xfId="0" applyFont="1" applyFill="1" applyBorder="1" applyAlignment="1">
      <alignment horizontal="left" vertical="center"/>
    </xf>
    <xf numFmtId="0" fontId="30" fillId="27" borderId="14" xfId="0" applyFont="1" applyFill="1" applyBorder="1" applyAlignment="1">
      <alignment horizontal="left" vertical="center"/>
    </xf>
    <xf numFmtId="0" fontId="31" fillId="22" borderId="11" xfId="0" applyFont="1" applyFill="1" applyBorder="1" applyAlignment="1">
      <alignment horizontal="left" vertical="center"/>
    </xf>
    <xf numFmtId="0" fontId="31" fillId="22" borderId="13" xfId="0" applyFont="1" applyFill="1" applyBorder="1" applyAlignment="1">
      <alignment horizontal="left" vertical="center"/>
    </xf>
    <xf numFmtId="0" fontId="28" fillId="20" borderId="0" xfId="0" applyFont="1" applyFill="1" applyAlignment="1">
      <alignment horizontal="left" vertical="center" wrapText="1"/>
    </xf>
    <xf numFmtId="0" fontId="34" fillId="21" borderId="0" xfId="0" applyFont="1" applyFill="1" applyAlignment="1">
      <alignment horizontal="left" vertical="center" wrapText="1"/>
    </xf>
    <xf numFmtId="0" fontId="33" fillId="24" borderId="11" xfId="0" applyFont="1" applyFill="1" applyBorder="1" applyAlignment="1">
      <alignment horizontal="left" vertical="center"/>
    </xf>
    <xf numFmtId="0" fontId="28" fillId="20" borderId="0" xfId="0" applyFont="1" applyFill="1" applyAlignment="1">
      <alignment horizontal="left" vertical="center"/>
    </xf>
    <xf numFmtId="0" fontId="33" fillId="26" borderId="0" xfId="0" applyFont="1" applyFill="1" applyAlignment="1">
      <alignment horizontal="left" vertical="center"/>
    </xf>
    <xf numFmtId="0" fontId="27" fillId="24" borderId="0" xfId="0" applyFont="1" applyFill="1" applyAlignment="1">
      <alignment horizontal="left" vertical="center"/>
    </xf>
    <xf numFmtId="0" fontId="27" fillId="39" borderId="0" xfId="0" applyFont="1" applyFill="1" applyAlignment="1">
      <alignment horizontal="left" vertical="center"/>
    </xf>
    <xf numFmtId="0" fontId="29" fillId="21" borderId="0" xfId="0" applyFont="1" applyFill="1" applyAlignment="1">
      <alignment horizontal="left" vertical="center" wrapText="1"/>
    </xf>
    <xf numFmtId="0" fontId="33" fillId="39" borderId="11" xfId="0" applyFont="1" applyFill="1" applyBorder="1" applyAlignment="1">
      <alignment horizontal="left" vertical="center"/>
    </xf>
    <xf numFmtId="0" fontId="0" fillId="0" borderId="1" xfId="0" applyBorder="1"/>
    <xf numFmtId="0" fontId="0" fillId="0" borderId="0" xfId="0"/>
    <xf numFmtId="0" fontId="5" fillId="2" borderId="7" xfId="0" applyFont="1" applyFill="1" applyBorder="1" applyAlignment="1">
      <alignment horizontal="left" vertical="center"/>
    </xf>
    <xf numFmtId="0" fontId="6" fillId="40" borderId="2" xfId="0" applyFont="1" applyFill="1" applyBorder="1" applyAlignment="1">
      <alignment horizontal="left" vertical="center" wrapText="1"/>
    </xf>
    <xf numFmtId="0" fontId="19" fillId="2" borderId="1" xfId="0" applyFont="1" applyFill="1" applyBorder="1" applyAlignment="1">
      <alignment horizontal="left" vertical="center" wrapText="1"/>
    </xf>
    <xf numFmtId="0" fontId="19" fillId="14" borderId="0" xfId="0" applyFont="1" applyFill="1" applyAlignment="1">
      <alignment horizontal="center" vertical="center" wrapText="1"/>
    </xf>
    <xf numFmtId="0" fontId="19" fillId="15" borderId="0" xfId="0" applyFont="1" applyFill="1" applyAlignment="1">
      <alignment horizontal="center" vertical="center" wrapText="1"/>
    </xf>
    <xf numFmtId="0" fontId="19" fillId="16" borderId="0" xfId="0" applyFont="1" applyFill="1" applyAlignment="1">
      <alignment horizontal="center" vertical="center" wrapText="1"/>
    </xf>
    <xf numFmtId="0" fontId="19" fillId="2" borderId="0" xfId="0" applyFont="1" applyFill="1" applyAlignment="1">
      <alignment horizontal="left" vertical="center" wrapText="1"/>
    </xf>
    <xf numFmtId="0" fontId="17" fillId="2" borderId="0" xfId="0" applyFont="1" applyFill="1" applyAlignment="1">
      <alignment horizontal="left" vertical="center" wrapText="1"/>
    </xf>
    <xf numFmtId="0" fontId="18" fillId="0" borderId="1" xfId="0" applyFont="1" applyBorder="1" applyAlignment="1">
      <alignment horizontal="left" vertical="center" wrapText="1"/>
    </xf>
    <xf numFmtId="43" fontId="0" fillId="0" borderId="0" xfId="3" applyFont="1"/>
    <xf numFmtId="172" fontId="31" fillId="23" borderId="10" xfId="0" applyNumberFormat="1" applyFont="1" applyFill="1" applyBorder="1" applyAlignment="1">
      <alignment horizontal="right" vertical="center" wrapText="1"/>
    </xf>
    <xf numFmtId="0" fontId="5" fillId="2" borderId="0" xfId="0" applyFont="1" applyFill="1" applyBorder="1" applyAlignment="1">
      <alignment horizontal="left" vertical="center" wrapText="1"/>
    </xf>
    <xf numFmtId="0" fontId="6" fillId="42" borderId="0" xfId="0" applyFont="1" applyFill="1" applyBorder="1" applyAlignment="1">
      <alignment horizontal="center" vertical="center" wrapText="1"/>
    </xf>
    <xf numFmtId="0" fontId="0" fillId="19" borderId="0" xfId="0" applyFill="1" applyBorder="1"/>
    <xf numFmtId="0" fontId="8" fillId="19" borderId="0" xfId="0" applyFont="1" applyFill="1" applyBorder="1" applyAlignment="1">
      <alignment horizontal="left" vertical="center" wrapText="1"/>
    </xf>
    <xf numFmtId="165" fontId="9" fillId="19" borderId="0" xfId="0" applyNumberFormat="1" applyFont="1" applyFill="1" applyBorder="1" applyAlignment="1">
      <alignment horizontal="right" vertical="center" wrapText="1"/>
    </xf>
    <xf numFmtId="0" fontId="7" fillId="43" borderId="0" xfId="0" applyFont="1" applyFill="1" applyBorder="1" applyAlignment="1">
      <alignment horizontal="left" vertical="center" wrapText="1"/>
    </xf>
    <xf numFmtId="167" fontId="9" fillId="19" borderId="0" xfId="0" applyNumberFormat="1" applyFont="1" applyFill="1" applyBorder="1" applyAlignment="1">
      <alignment horizontal="right" vertical="center" wrapText="1"/>
    </xf>
    <xf numFmtId="0" fontId="0" fillId="0" borderId="0" xfId="0" applyBorder="1"/>
  </cellXfs>
  <cellStyles count="4">
    <cellStyle name="Comma" xfId="3" builtinId="3"/>
    <cellStyle name="Normal" xfId="0" builtinId="0"/>
    <cellStyle name="Normal 2" xfId="2" xr:uid="{00000000-0005-0000-0000-000006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C9C9C9"/>
      <rgbColor rgb="FF7F7F7F"/>
      <rgbColor rgb="FF9BBB59"/>
      <rgbColor rgb="FFC0504D"/>
      <rgbColor rgb="FFFFF2CC"/>
      <rgbColor rgb="FFF3F9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3F3"/>
      <rgbColor rgb="FFE2F0D9"/>
      <rgbColor rgb="FFFDE9D9"/>
      <rgbColor rgb="FFE4DFEC"/>
      <rgbColor rgb="FFFF99CC"/>
      <rgbColor rgb="FFCC99FF"/>
      <rgbColor rgb="FFFCE4D6"/>
      <rgbColor rgb="FF4F81BD"/>
      <rgbColor rgb="FF33CCCC"/>
      <rgbColor rgb="FF92D050"/>
      <rgbColor rgb="FFFFCC00"/>
      <rgbColor rgb="FFFF9900"/>
      <rgbColor rgb="FFFF6600"/>
      <rgbColor rgb="FF8064A2"/>
      <rgbColor rgb="FF878787"/>
      <rgbColor rgb="FF003366"/>
      <rgbColor rgb="FF339966"/>
      <rgbColor rgb="FF003300"/>
      <rgbColor rgb="FF333300"/>
      <rgbColor rgb="FF993300"/>
      <rgbColor rgb="FF993366"/>
      <rgbColor rgb="FF1F4E78"/>
      <rgbColor rgb="FF1B5E20"/>
      <rgbColor rgb="00003366"/>
      <rgbColor rgb="00339966"/>
      <rgbColor rgb="00003300"/>
      <rgbColor rgb="00333300"/>
      <rgbColor rgb="00993300"/>
      <rgbColor rgb="00993366"/>
      <rgbColor rgb="00333399"/>
      <rgbColor rgb="00333333"/>
    </indexedColors>
    <mruColors>
      <color rgb="FF0F89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'07_VALUE_CASE'!$C$48</c:f>
              <c:strCache>
                <c:ptCount val="1"/>
                <c:pt idx="0">
                  <c:v>Copilot Studio</c:v>
                </c:pt>
              </c:strCache>
            </c:strRef>
          </c:tx>
          <c:spPr>
            <a:ln w="28575" cap="rnd">
              <a:solidFill>
                <a:srgbClr val="4472C4"/>
              </a:solidFill>
              <a:prstDash val="solid"/>
              <a:round/>
            </a:ln>
            <a:effectLst/>
          </c:spPr>
          <c:marker>
            <c:symbol val="circle"/>
            <c:size val="8"/>
            <c:spPr>
              <a:solidFill>
                <a:srgbClr val="4472C4"/>
              </a:solidFill>
              <a:ln w="9525">
                <a:solidFill>
                  <a:srgbClr val="4472C4"/>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'07_VALUE_CASE'!$C$49:$C$54</c:f>
              <c:numCache>
                <c:formatCode>[$CHF ]#,##0;[Red]\([$CHF ]#,##0\);\-</c:formatCode>
                <c:ptCount val="6"/>
                <c:pt idx="0">
                  <c:v>-849830</c:v>
                </c:pt>
                <c:pt idx="1">
                  <c:v>-770925.05496251071</c:v>
                </c:pt>
                <c:pt idx="2">
                  <c:v>-428445.1491839576</c:v>
                </c:pt>
                <c:pt idx="3">
                  <c:v>72179.733039233892</c:v>
                </c:pt>
                <c:pt idx="4">
                  <c:v>730949.59170706384</c:v>
                </c:pt>
                <c:pt idx="5">
                  <c:v>1389719.4503748938</c:v>
                </c:pt>
              </c:numCache>
            </c:numRef>
          </c:val>
          <c:smooth val="0"/>
          <c:extLst>
            <c:ext xmlns:c16="http://schemas.microsoft.com/office/drawing/2014/chart" uri="{C3380CC4-5D6E-409C-BE32-E72D297353CC}">
              <c16:uniqueId val="{00000000-08C8-3A43-87F4-EA3F1E56D299}"/>
            </c:ext>
          </c:extLst>
        </c:ser>
        <c:ser>
          <c:idx val="1"/>
          <c:order val="1"/>
          <c:tx>
            <c:strRef>
              <c:f>'07_VALUE_CASE'!$D$48</c:f>
              <c:strCache>
                <c:ptCount val="1"/>
                <c:pt idx="0">
                  <c:v>Azure Komponenten</c:v>
                </c:pt>
              </c:strCache>
            </c:strRef>
          </c:tx>
          <c:spPr>
            <a:ln w="28575" cap="rnd">
              <a:solidFill>
                <a:srgbClr val="ED7D31"/>
              </a:solidFill>
              <a:prstDash val="solid"/>
              <a:round/>
            </a:ln>
            <a:effectLst/>
          </c:spPr>
          <c:marker>
            <c:symbol val="circle"/>
            <c:size val="8"/>
            <c:spPr>
              <a:solidFill>
                <a:srgbClr val="ED7D31"/>
              </a:solidFill>
              <a:ln w="9525">
                <a:solidFill>
                  <a:srgbClr val="ED7D31"/>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'07_VALUE_CASE'!$D$49:$D$54</c:f>
              <c:numCache>
                <c:formatCode>[$CHF ]#,##0;[Red]\([$CHF ]#,##0\);\-</c:formatCode>
                <c:ptCount val="6"/>
                <c:pt idx="0">
                  <c:v>-1149770</c:v>
                </c:pt>
                <c:pt idx="1">
                  <c:v>-1015153.3009769239</c:v>
                </c:pt>
                <c:pt idx="2">
                  <c:v>-517063.81693736464</c:v>
                </c:pt>
                <c:pt idx="3">
                  <c:v>199109.33811208466</c:v>
                </c:pt>
                <c:pt idx="4">
                  <c:v>1133366.1641714238</c:v>
                </c:pt>
                <c:pt idx="5">
                  <c:v>2067622.9902307629</c:v>
                </c:pt>
              </c:numCache>
            </c:numRef>
          </c:val>
          <c:smooth val="0"/>
          <c:extLst>
            <c:ext xmlns:c16="http://schemas.microsoft.com/office/drawing/2014/chart" uri="{C3380CC4-5D6E-409C-BE32-E72D297353CC}">
              <c16:uniqueId val="{00000001-08C8-3A43-87F4-EA3F1E56D299}"/>
            </c:ext>
          </c:extLst>
        </c:ser>
        <c:ser>
          <c:idx val="2"/>
          <c:order val="2"/>
          <c:tx>
            <c:strRef>
              <c:f>'07_VALUE_CASE'!$E$48</c:f>
              <c:strCache>
                <c:ptCount val="1"/>
                <c:pt idx="0">
                  <c:v>Open Source auf Azure</c:v>
                </c:pt>
              </c:strCache>
            </c:strRef>
          </c:tx>
          <c:spPr>
            <a:ln w="28575" cap="rnd">
              <a:solidFill>
                <a:srgbClr val="70AD47"/>
              </a:solidFill>
              <a:prstDash val="solid"/>
              <a:round/>
            </a:ln>
            <a:effectLst/>
          </c:spPr>
          <c:marker>
            <c:symbol val="circle"/>
            <c:size val="8"/>
            <c:spPr>
              <a:solidFill>
                <a:srgbClr val="70AD47"/>
              </a:solidFill>
              <a:ln w="9525">
                <a:solidFill>
                  <a:srgbClr val="70AD47"/>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'07_VALUE_CASE'!$E$49:$E$54</c:f>
              <c:numCache>
                <c:formatCode>[$CHF ]#,##0;[Red]\([$CHF ]#,##0\);\-</c:formatCode>
                <c:ptCount val="6"/>
                <c:pt idx="0">
                  <c:v>-1199760</c:v>
                </c:pt>
                <c:pt idx="1">
                  <c:v>-1058817.1171689238</c:v>
                </c:pt>
                <c:pt idx="2">
                  <c:v>-545292.74660136458</c:v>
                </c:pt>
                <c:pt idx="3">
                  <c:v>191780.51660808478</c:v>
                </c:pt>
                <c:pt idx="4">
                  <c:v>1152402.672459424</c:v>
                </c:pt>
                <c:pt idx="5">
                  <c:v>2113024.8283107635</c:v>
                </c:pt>
              </c:numCache>
            </c:numRef>
          </c:val>
          <c:smooth val="0"/>
          <c:extLst>
            <c:ext xmlns:c16="http://schemas.microsoft.com/office/drawing/2014/chart" uri="{C3380CC4-5D6E-409C-BE32-E72D297353CC}">
              <c16:uniqueId val="{00000002-08C8-3A43-87F4-EA3F1E56D299}"/>
            </c:ext>
          </c:extLst>
        </c:ser>
        <c:ser>
          <c:idx val="3"/>
          <c:order val="3"/>
          <c:tx>
            <c:strRef>
              <c:f>'07_VALUE_CASE'!$F$48</c:f>
              <c:strCache>
                <c:ptCount val="1"/>
                <c:pt idx="0">
                  <c:v>GCP Vertex AI</c:v>
                </c:pt>
              </c:strCache>
            </c:strRef>
          </c:tx>
          <c:spPr>
            <a:ln w="28575" cap="rnd">
              <a:solidFill>
                <a:srgbClr val="FFC000"/>
              </a:solidFill>
              <a:prstDash val="solid"/>
              <a:round/>
            </a:ln>
            <a:effectLst/>
          </c:spPr>
          <c:marker>
            <c:symbol val="circle"/>
            <c:size val="8"/>
            <c:spPr>
              <a:solidFill>
                <a:srgbClr val="FFC000"/>
              </a:solidFill>
              <a:ln w="9525">
                <a:solidFill>
                  <a:srgbClr val="FFC000"/>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'07_VALUE_CASE'!$F$49:$F$54</c:f>
              <c:numCache>
                <c:formatCode>[$CHF ]#,##0;[Red]\([$CHF ]#,##0\);\-</c:formatCode>
                <c:ptCount val="6"/>
                <c:pt idx="0">
                  <c:v>-999800</c:v>
                </c:pt>
                <c:pt idx="1">
                  <c:v>-821673.1277937172</c:v>
                </c:pt>
                <c:pt idx="2">
                  <c:v>-292971.346868661</c:v>
                </c:pt>
                <c:pt idx="3">
                  <c:v>446075.37928765931</c:v>
                </c:pt>
                <c:pt idx="4">
                  <c:v>1395467.0506752441</c:v>
                </c:pt>
                <c:pt idx="5">
                  <c:v>2344858.722062829</c:v>
                </c:pt>
              </c:numCache>
            </c:numRef>
          </c:val>
          <c:smooth val="0"/>
          <c:extLst>
            <c:ext xmlns:c16="http://schemas.microsoft.com/office/drawing/2014/chart" uri="{C3380CC4-5D6E-409C-BE32-E72D297353CC}">
              <c16:uniqueId val="{00000003-08C8-3A43-87F4-EA3F1E56D299}"/>
            </c:ext>
          </c:extLst>
        </c:ser>
        <c:ser>
          <c:idx val="4"/>
          <c:order val="4"/>
          <c:tx>
            <c:strRef>
              <c:f>'07_VALUE_CASE'!$G$48</c:f>
              <c:strCache>
                <c:ptCount val="1"/>
                <c:pt idx="0">
                  <c:v>GCP Komponenten</c:v>
                </c:pt>
              </c:strCache>
            </c:strRef>
          </c:tx>
          <c:spPr>
            <a:ln w="28575" cap="rnd">
              <a:solidFill>
                <a:srgbClr val="5B9BD5"/>
              </a:solidFill>
              <a:prstDash val="solid"/>
              <a:round/>
            </a:ln>
            <a:effectLst/>
          </c:spPr>
          <c:marker>
            <c:symbol val="circle"/>
            <c:size val="8"/>
            <c:spPr>
              <a:solidFill>
                <a:srgbClr val="5B9BD5"/>
              </a:solidFill>
              <a:ln w="9525">
                <a:solidFill>
                  <a:srgbClr val="5B9BD5"/>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'07_VALUE_CASE'!$G$49:$G$54</c:f>
              <c:numCache>
                <c:formatCode>[$CHF ]#,##0;[Red]\([$CHF ]#,##0\);\-</c:formatCode>
                <c:ptCount val="6"/>
                <c:pt idx="0">
                  <c:v>-1099780</c:v>
                </c:pt>
                <c:pt idx="1">
                  <c:v>-941184.05502492376</c:v>
                </c:pt>
                <c:pt idx="2">
                  <c:v>-416838.14935336448</c:v>
                </c:pt>
                <c:pt idx="3">
                  <c:v>326957.73273608484</c:v>
                </c:pt>
                <c:pt idx="4">
                  <c:v>1290203.591243424</c:v>
                </c:pt>
                <c:pt idx="5">
                  <c:v>2253449.4497507634</c:v>
                </c:pt>
              </c:numCache>
            </c:numRef>
          </c:val>
          <c:smooth val="0"/>
          <c:extLst>
            <c:ext xmlns:c16="http://schemas.microsoft.com/office/drawing/2014/chart" uri="{C3380CC4-5D6E-409C-BE32-E72D297353CC}">
              <c16:uniqueId val="{00000004-08C8-3A43-87F4-EA3F1E56D299}"/>
            </c:ext>
          </c:extLst>
        </c:ser>
        <c:dLbls>
          <c:showLegendKey val="0"/>
          <c:showVal val="0"/>
          <c:showCatName val="0"/>
          <c:showSerName val="0"/>
          <c:showPercent val="0"/>
          <c:showBubbleSize val="0"/>
        </c:dLbls>
        <c:marker val="1"/>
        <c:smooth val="0"/>
        <c:axId val="1424140352"/>
        <c:axId val="1152338560"/>
      </c:lineChart>
      <c:catAx>
        <c:axId val="14241403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Jahr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2338560"/>
        <c:crosses val="autoZero"/>
        <c:auto val="1"/>
        <c:lblAlgn val="ctr"/>
        <c:lblOffset val="100"/>
        <c:noMultiLvlLbl val="0"/>
      </c:catAx>
      <c:valAx>
        <c:axId val="115233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Kumulierter Netto-Cashflow (CHF)</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CHF ]#,##0;\([$CHF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24140352"/>
        <c:crosses val="autoZero"/>
        <c:crossBetween val="between"/>
      </c:valAx>
      <c:spPr>
        <a:solidFill>
          <a:srgbClr val="F9FBF9"/>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5Y Nettowert nach Szenario</a:t>
            </a:r>
          </a:p>
        </c:rich>
      </c:tx>
      <c:overlay val="0"/>
      <c:spPr>
        <a:noFill/>
        <a:ln w="0">
          <a:noFill/>
        </a:ln>
      </c:spPr>
    </c:title>
    <c:autoTitleDeleted val="0"/>
    <c:plotArea>
      <c:layout/>
      <c:barChart>
        <c:barDir val="bar"/>
        <c:grouping val="clustered"/>
        <c:varyColors val="1"/>
        <c:ser>
          <c:idx val="0"/>
          <c:order val="0"/>
          <c:spPr>
            <a:solidFill>
              <a:srgbClr val="4F81BD"/>
            </a:solidFill>
            <a:ln w="0">
              <a:noFill/>
            </a:ln>
          </c:spPr>
          <c:invertIfNegative val="0"/>
          <c:dPt>
            <c:idx val="0"/>
            <c:invertIfNegative val="1"/>
            <c:bubble3D val="0"/>
            <c:extLst>
              <c:ext xmlns:c16="http://schemas.microsoft.com/office/drawing/2014/chart" uri="{C3380CC4-5D6E-409C-BE32-E72D297353CC}">
                <c16:uniqueId val="{00000001-DA9F-B34B-9D26-46BC7DDDCE9D}"/>
              </c:ext>
            </c:extLst>
          </c:dPt>
          <c:dPt>
            <c:idx val="1"/>
            <c:invertIfNegative val="1"/>
            <c:bubble3D val="0"/>
            <c:spPr>
              <a:solidFill>
                <a:srgbClr val="C0504D"/>
              </a:solidFill>
              <a:ln w="0">
                <a:noFill/>
              </a:ln>
            </c:spPr>
            <c:extLst>
              <c:ext xmlns:c16="http://schemas.microsoft.com/office/drawing/2014/chart" uri="{C3380CC4-5D6E-409C-BE32-E72D297353CC}">
                <c16:uniqueId val="{00000003-DA9F-B34B-9D26-46BC7DDDCE9D}"/>
              </c:ext>
            </c:extLst>
          </c:dPt>
          <c:dPt>
            <c:idx val="2"/>
            <c:invertIfNegative val="1"/>
            <c:bubble3D val="0"/>
            <c:spPr>
              <a:solidFill>
                <a:srgbClr val="9BBB59"/>
              </a:solidFill>
              <a:ln w="0">
                <a:noFill/>
              </a:ln>
            </c:spPr>
            <c:extLst>
              <c:ext xmlns:c16="http://schemas.microsoft.com/office/drawing/2014/chart" uri="{C3380CC4-5D6E-409C-BE32-E72D297353CC}">
                <c16:uniqueId val="{00000005-DA9F-B34B-9D26-46BC7DDDCE9D}"/>
              </c:ext>
            </c:extLst>
          </c:dPt>
          <c:dPt>
            <c:idx val="3"/>
            <c:invertIfNegative val="1"/>
            <c:bubble3D val="0"/>
            <c:spPr>
              <a:solidFill>
                <a:srgbClr val="8064A2"/>
              </a:solidFill>
              <a:ln w="0">
                <a:noFill/>
              </a:ln>
            </c:spPr>
            <c:extLst>
              <c:ext xmlns:c16="http://schemas.microsoft.com/office/drawing/2014/chart" uri="{C3380CC4-5D6E-409C-BE32-E72D297353CC}">
                <c16:uniqueId val="{00000007-DA9F-B34B-9D26-46BC7DDDCE9D}"/>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A9F-B34B-9D26-46BC7DDDCE9D}"/>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A9F-B34B-9D26-46BC7DDDCE9D}"/>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A9F-B34B-9D26-46BC7DDDCE9D}"/>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A9F-B34B-9D26-46BC7DDDCE9D}"/>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'07_VALUE_CASE'!$C$4:$F$4</c:f>
              <c:strCache>
                <c:ptCount val="4"/>
                <c:pt idx="0">
                  <c:v>Copilot Studio</c:v>
                </c:pt>
                <c:pt idx="1">
                  <c:v>Azure Komponenten</c:v>
                </c:pt>
                <c:pt idx="2">
                  <c:v>Open Source auf Azure</c:v>
                </c:pt>
                <c:pt idx="3">
                  <c:v>GCP Vertex AI</c:v>
                </c:pt>
              </c:strCache>
            </c:strRef>
          </c:cat>
          <c:val>
            <c:numRef>
              <c:f>'07_VALUE_CASE'!$C$20:$F$20</c:f>
              <c:numCache>
                <c:formatCode>[$CHF ]#,##0;[Red]\([$CHF ]#,##0\);\-</c:formatCode>
                <c:ptCount val="4"/>
                <c:pt idx="0">
                  <c:v>1389719.4503748934</c:v>
                </c:pt>
                <c:pt idx="1">
                  <c:v>2067622.9902307633</c:v>
                </c:pt>
                <c:pt idx="2">
                  <c:v>2113024.8283107635</c:v>
                </c:pt>
                <c:pt idx="3">
                  <c:v>2344858.722062828</c:v>
                </c:pt>
              </c:numCache>
            </c:numRef>
          </c:val>
          <c:extLst>
            <c:ext xmlns:c16="http://schemas.microsoft.com/office/drawing/2014/chart" uri="{C3380CC4-5D6E-409C-BE32-E72D297353CC}">
              <c16:uniqueId val="{00000008-DA9F-B34B-9D26-46BC7DDDCE9D}"/>
            </c:ext>
          </c:extLst>
        </c:ser>
        <c:dLbls>
          <c:showLegendKey val="0"/>
          <c:showVal val="0"/>
          <c:showCatName val="0"/>
          <c:showSerName val="0"/>
          <c:showPercent val="0"/>
          <c:showBubbleSize val="0"/>
        </c:dLbls>
        <c:gapWidth val="150"/>
        <c:axId val="55480189"/>
        <c:axId val="13323467"/>
      </c:barChart>
      <c:catAx>
        <c:axId val="55480189"/>
        <c:scaling>
          <c:orientation val="minMax"/>
        </c:scaling>
        <c:delete val="0"/>
        <c:axPos val="l"/>
        <c:title>
          <c:tx>
            <c:rich>
              <a:bodyPr rot="-5400000"/>
              <a:lstStyle/>
              <a:p>
                <a:pPr>
                  <a:defRPr lang="en-US" sz="1000" b="1" strike="noStrike" spc="-1">
                    <a:solidFill>
                      <a:srgbClr val="000000"/>
                    </a:solidFill>
                    <a:latin typeface="Calibri"/>
                    <a:ea typeface="Calibri"/>
                  </a:defRPr>
                </a:pPr>
                <a:r>
                  <a:rPr lang="en-US" sz="1000" b="1" strike="noStrike" spc="-1">
                    <a:solidFill>
                      <a:srgbClr val="000000"/>
                    </a:solidFill>
                    <a:latin typeface="Calibri"/>
                    <a:ea typeface="Calibri"/>
                  </a:rPr>
                  <a:t>CHF</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en-US"/>
          </a:p>
        </c:txPr>
        <c:crossAx val="13323467"/>
        <c:crosses val="autoZero"/>
        <c:auto val="1"/>
        <c:lblAlgn val="ctr"/>
        <c:lblOffset val="100"/>
        <c:noMultiLvlLbl val="0"/>
      </c:catAx>
      <c:valAx>
        <c:axId val="13323467"/>
        <c:scaling>
          <c:orientation val="minMax"/>
        </c:scaling>
        <c:delete val="0"/>
        <c:axPos val="b"/>
        <c:title>
          <c:tx>
            <c:rich>
              <a:bodyPr rot="0"/>
              <a:lstStyle/>
              <a:p>
                <a:pPr>
                  <a:defRPr lang="en-US" sz="1000" b="1" strike="noStrike" spc="-1">
                    <a:solidFill>
                      <a:srgbClr val="000000"/>
                    </a:solidFill>
                    <a:latin typeface="Calibri"/>
                    <a:ea typeface="Calibri"/>
                  </a:defRPr>
                </a:pPr>
                <a:r>
                  <a:rPr lang="en-US" sz="1000" b="1" strike="noStrike" spc="-1">
                    <a:solidFill>
                      <a:srgbClr val="000000"/>
                    </a:solidFill>
                    <a:latin typeface="Calibri"/>
                    <a:ea typeface="Calibri"/>
                  </a:rPr>
                  <a:t>Szenario</a:t>
                </a:r>
              </a:p>
            </c:rich>
          </c:tx>
          <c:overlay val="0"/>
          <c:spPr>
            <a:noFill/>
            <a:ln w="0">
              <a:noFill/>
            </a:ln>
          </c:spPr>
        </c:title>
        <c:numFmt formatCode="[$CHF ]#,##0;[Red]\([$CHF ]#,##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en-US"/>
          </a:p>
        </c:txPr>
        <c:crossAx val="55480189"/>
        <c:crosses val="autoZero"/>
        <c:crossBetween val="between"/>
      </c:valAx>
      <c:spPr>
        <a:noFill/>
        <a:ln w="0">
          <a:noFill/>
        </a:ln>
      </c:spPr>
    </c:plotArea>
    <c:legend>
      <c:legendPos val="r"/>
      <c:overlay val="1"/>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B5E20"/>
                </a:solidFill>
                <a:latin typeface="+mn-lt"/>
                <a:ea typeface="+mn-ea"/>
                <a:cs typeface="+mn-cs"/>
              </a:defRPr>
            </a:pPr>
            <a:r>
              <a:rPr lang="en-US"/>
              <a:t>Break-Even Analyse – Kumulierter Netto-Cashflow (CHF)</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B5E20"/>
              </a:solidFill>
              <a:latin typeface="+mn-lt"/>
              <a:ea typeface="+mn-ea"/>
              <a:cs typeface="+mn-cs"/>
            </a:defRPr>
          </a:pPr>
          <a:endParaRPr lang="en-US"/>
        </a:p>
      </c:txPr>
    </c:title>
    <c:autoTitleDeleted val="0"/>
    <c:plotArea>
      <c:layout/>
      <c:lineChart>
        <c:grouping val="standard"/>
        <c:varyColors val="0"/>
        <c:ser>
          <c:idx val="0"/>
          <c:order val="0"/>
          <c:tx>
            <c:strRef>
              <c:f>'07_VALUE_CASE'!$C$48</c:f>
              <c:strCache>
                <c:ptCount val="1"/>
                <c:pt idx="0">
                  <c:v>Copilot Studio</c:v>
                </c:pt>
              </c:strCache>
            </c:strRef>
          </c:tx>
          <c:spPr>
            <a:ln w="28575" cap="rnd">
              <a:solidFill>
                <a:srgbClr val="4472C4"/>
              </a:solidFill>
              <a:prstDash val="solid"/>
              <a:round/>
            </a:ln>
            <a:effectLst/>
          </c:spPr>
          <c:marker>
            <c:symbol val="circle"/>
            <c:size val="8"/>
            <c:spPr>
              <a:solidFill>
                <a:srgbClr val="4472C4"/>
              </a:solidFill>
              <a:ln w="9525">
                <a:solidFill>
                  <a:srgbClr val="4472C4"/>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'07_VALUE_CASE'!$C$49:$C$54</c:f>
              <c:numCache>
                <c:formatCode>[$CHF ]#,##0;[Red]\([$CHF ]#,##0\);\-</c:formatCode>
                <c:ptCount val="6"/>
                <c:pt idx="0">
                  <c:v>-849830</c:v>
                </c:pt>
                <c:pt idx="1">
                  <c:v>-770925.05496251071</c:v>
                </c:pt>
                <c:pt idx="2">
                  <c:v>-428445.1491839576</c:v>
                </c:pt>
                <c:pt idx="3">
                  <c:v>72179.733039233892</c:v>
                </c:pt>
                <c:pt idx="4">
                  <c:v>730949.59170706384</c:v>
                </c:pt>
                <c:pt idx="5">
                  <c:v>1389719.4503748938</c:v>
                </c:pt>
              </c:numCache>
            </c:numRef>
          </c:val>
          <c:smooth val="0"/>
          <c:extLst>
            <c:ext xmlns:c16="http://schemas.microsoft.com/office/drawing/2014/chart" uri="{C3380CC4-5D6E-409C-BE32-E72D297353CC}">
              <c16:uniqueId val="{00000000-00BF-A049-8DDB-4F239770856F}"/>
            </c:ext>
          </c:extLst>
        </c:ser>
        <c:ser>
          <c:idx val="1"/>
          <c:order val="1"/>
          <c:tx>
            <c:strRef>
              <c:f>'07_VALUE_CASE'!$D$48</c:f>
              <c:strCache>
                <c:ptCount val="1"/>
                <c:pt idx="0">
                  <c:v>Azure Komponenten</c:v>
                </c:pt>
              </c:strCache>
            </c:strRef>
          </c:tx>
          <c:spPr>
            <a:ln w="28575" cap="rnd">
              <a:solidFill>
                <a:srgbClr val="ED7D31"/>
              </a:solidFill>
              <a:prstDash val="solid"/>
              <a:round/>
            </a:ln>
            <a:effectLst/>
          </c:spPr>
          <c:marker>
            <c:symbol val="circle"/>
            <c:size val="8"/>
            <c:spPr>
              <a:solidFill>
                <a:srgbClr val="ED7D31"/>
              </a:solidFill>
              <a:ln w="9525">
                <a:solidFill>
                  <a:srgbClr val="ED7D31"/>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'07_VALUE_CASE'!$D$49:$D$54</c:f>
              <c:numCache>
                <c:formatCode>[$CHF ]#,##0;[Red]\([$CHF ]#,##0\);\-</c:formatCode>
                <c:ptCount val="6"/>
                <c:pt idx="0">
                  <c:v>-1149770</c:v>
                </c:pt>
                <c:pt idx="1">
                  <c:v>-1015153.3009769239</c:v>
                </c:pt>
                <c:pt idx="2">
                  <c:v>-517063.81693736464</c:v>
                </c:pt>
                <c:pt idx="3">
                  <c:v>199109.33811208466</c:v>
                </c:pt>
                <c:pt idx="4">
                  <c:v>1133366.1641714238</c:v>
                </c:pt>
                <c:pt idx="5">
                  <c:v>2067622.9902307629</c:v>
                </c:pt>
              </c:numCache>
            </c:numRef>
          </c:val>
          <c:smooth val="0"/>
          <c:extLst>
            <c:ext xmlns:c16="http://schemas.microsoft.com/office/drawing/2014/chart" uri="{C3380CC4-5D6E-409C-BE32-E72D297353CC}">
              <c16:uniqueId val="{00000001-00BF-A049-8DDB-4F239770856F}"/>
            </c:ext>
          </c:extLst>
        </c:ser>
        <c:ser>
          <c:idx val="2"/>
          <c:order val="2"/>
          <c:tx>
            <c:strRef>
              <c:f>'07_VALUE_CASE'!$E$48</c:f>
              <c:strCache>
                <c:ptCount val="1"/>
                <c:pt idx="0">
                  <c:v>Open Source auf Azure</c:v>
                </c:pt>
              </c:strCache>
            </c:strRef>
          </c:tx>
          <c:spPr>
            <a:ln w="28575" cap="rnd">
              <a:solidFill>
                <a:srgbClr val="70AD47"/>
              </a:solidFill>
              <a:prstDash val="solid"/>
              <a:round/>
            </a:ln>
            <a:effectLst/>
          </c:spPr>
          <c:marker>
            <c:symbol val="circle"/>
            <c:size val="8"/>
            <c:spPr>
              <a:solidFill>
                <a:srgbClr val="70AD47"/>
              </a:solidFill>
              <a:ln w="9525">
                <a:solidFill>
                  <a:srgbClr val="70AD47"/>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'07_VALUE_CASE'!$E$49:$E$54</c:f>
              <c:numCache>
                <c:formatCode>[$CHF ]#,##0;[Red]\([$CHF ]#,##0\);\-</c:formatCode>
                <c:ptCount val="6"/>
                <c:pt idx="0">
                  <c:v>-1199760</c:v>
                </c:pt>
                <c:pt idx="1">
                  <c:v>-1058817.1171689238</c:v>
                </c:pt>
                <c:pt idx="2">
                  <c:v>-545292.74660136458</c:v>
                </c:pt>
                <c:pt idx="3">
                  <c:v>191780.51660808478</c:v>
                </c:pt>
                <c:pt idx="4">
                  <c:v>1152402.672459424</c:v>
                </c:pt>
                <c:pt idx="5">
                  <c:v>2113024.8283107635</c:v>
                </c:pt>
              </c:numCache>
            </c:numRef>
          </c:val>
          <c:smooth val="0"/>
          <c:extLst>
            <c:ext xmlns:c16="http://schemas.microsoft.com/office/drawing/2014/chart" uri="{C3380CC4-5D6E-409C-BE32-E72D297353CC}">
              <c16:uniqueId val="{00000002-00BF-A049-8DDB-4F239770856F}"/>
            </c:ext>
          </c:extLst>
        </c:ser>
        <c:ser>
          <c:idx val="3"/>
          <c:order val="3"/>
          <c:tx>
            <c:strRef>
              <c:f>'07_VALUE_CASE'!$F$48</c:f>
              <c:strCache>
                <c:ptCount val="1"/>
                <c:pt idx="0">
                  <c:v>GCP Vertex AI</c:v>
                </c:pt>
              </c:strCache>
            </c:strRef>
          </c:tx>
          <c:spPr>
            <a:ln w="28575" cap="rnd">
              <a:solidFill>
                <a:srgbClr val="FFC000"/>
              </a:solidFill>
              <a:prstDash val="solid"/>
              <a:round/>
            </a:ln>
            <a:effectLst/>
          </c:spPr>
          <c:marker>
            <c:symbol val="circle"/>
            <c:size val="8"/>
            <c:spPr>
              <a:solidFill>
                <a:srgbClr val="FFC000"/>
              </a:solidFill>
              <a:ln w="9525">
                <a:solidFill>
                  <a:srgbClr val="FFC000"/>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'07_VALUE_CASE'!$F$49:$F$54</c:f>
              <c:numCache>
                <c:formatCode>[$CHF ]#,##0;[Red]\([$CHF ]#,##0\);\-</c:formatCode>
                <c:ptCount val="6"/>
                <c:pt idx="0">
                  <c:v>-999800</c:v>
                </c:pt>
                <c:pt idx="1">
                  <c:v>-821673.1277937172</c:v>
                </c:pt>
                <c:pt idx="2">
                  <c:v>-292971.346868661</c:v>
                </c:pt>
                <c:pt idx="3">
                  <c:v>446075.37928765931</c:v>
                </c:pt>
                <c:pt idx="4">
                  <c:v>1395467.0506752441</c:v>
                </c:pt>
                <c:pt idx="5">
                  <c:v>2344858.722062829</c:v>
                </c:pt>
              </c:numCache>
            </c:numRef>
          </c:val>
          <c:smooth val="0"/>
          <c:extLst>
            <c:ext xmlns:c16="http://schemas.microsoft.com/office/drawing/2014/chart" uri="{C3380CC4-5D6E-409C-BE32-E72D297353CC}">
              <c16:uniqueId val="{00000003-00BF-A049-8DDB-4F239770856F}"/>
            </c:ext>
          </c:extLst>
        </c:ser>
        <c:ser>
          <c:idx val="4"/>
          <c:order val="4"/>
          <c:tx>
            <c:strRef>
              <c:f>'07_VALUE_CASE'!$G$48</c:f>
              <c:strCache>
                <c:ptCount val="1"/>
                <c:pt idx="0">
                  <c:v>GCP Komponenten</c:v>
                </c:pt>
              </c:strCache>
            </c:strRef>
          </c:tx>
          <c:spPr>
            <a:ln w="28575" cap="rnd">
              <a:solidFill>
                <a:srgbClr val="5B9BD5"/>
              </a:solidFill>
              <a:prstDash val="solid"/>
              <a:round/>
            </a:ln>
            <a:effectLst/>
          </c:spPr>
          <c:marker>
            <c:symbol val="circle"/>
            <c:size val="8"/>
            <c:spPr>
              <a:solidFill>
                <a:srgbClr val="5B9BD5"/>
              </a:solidFill>
              <a:ln w="9525">
                <a:solidFill>
                  <a:srgbClr val="5B9BD5"/>
                </a:solidFill>
                <a:prstDash val="solid"/>
              </a:ln>
              <a:effectLst/>
            </c:spPr>
          </c:marker>
          <c:cat>
            <c:strRef>
              <c:f>'07_VALUE_CASE'!$B$49:$B$54</c:f>
              <c:strCache>
                <c:ptCount val="6"/>
                <c:pt idx="0">
                  <c:v>Jahr 0</c:v>
                </c:pt>
                <c:pt idx="1">
                  <c:v>Jahr 1</c:v>
                </c:pt>
                <c:pt idx="2">
                  <c:v>Jahr 2</c:v>
                </c:pt>
                <c:pt idx="3">
                  <c:v>Jahr 3</c:v>
                </c:pt>
                <c:pt idx="4">
                  <c:v>Jahr 4</c:v>
                </c:pt>
                <c:pt idx="5">
                  <c:v>Jahr 5</c:v>
                </c:pt>
              </c:strCache>
            </c:strRef>
          </c:cat>
          <c:val>
            <c:numRef>
              <c:f>'07_VALUE_CASE'!$G$49:$G$54</c:f>
              <c:numCache>
                <c:formatCode>[$CHF ]#,##0;[Red]\([$CHF ]#,##0\);\-</c:formatCode>
                <c:ptCount val="6"/>
                <c:pt idx="0">
                  <c:v>-1099780</c:v>
                </c:pt>
                <c:pt idx="1">
                  <c:v>-941184.05502492376</c:v>
                </c:pt>
                <c:pt idx="2">
                  <c:v>-416838.14935336448</c:v>
                </c:pt>
                <c:pt idx="3">
                  <c:v>326957.73273608484</c:v>
                </c:pt>
                <c:pt idx="4">
                  <c:v>1290203.591243424</c:v>
                </c:pt>
                <c:pt idx="5">
                  <c:v>2253449.4497507634</c:v>
                </c:pt>
              </c:numCache>
            </c:numRef>
          </c:val>
          <c:smooth val="0"/>
          <c:extLst>
            <c:ext xmlns:c16="http://schemas.microsoft.com/office/drawing/2014/chart" uri="{C3380CC4-5D6E-409C-BE32-E72D297353CC}">
              <c16:uniqueId val="{00000004-00BF-A049-8DDB-4F239770856F}"/>
            </c:ext>
          </c:extLst>
        </c:ser>
        <c:dLbls>
          <c:showLegendKey val="0"/>
          <c:showVal val="0"/>
          <c:showCatName val="0"/>
          <c:showSerName val="0"/>
          <c:showPercent val="0"/>
          <c:showBubbleSize val="0"/>
        </c:dLbls>
        <c:marker val="1"/>
        <c:smooth val="0"/>
        <c:axId val="1424140352"/>
        <c:axId val="1152338560"/>
      </c:lineChart>
      <c:catAx>
        <c:axId val="14241403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Jahr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2338560"/>
        <c:crosses val="autoZero"/>
        <c:auto val="1"/>
        <c:lblAlgn val="ctr"/>
        <c:lblOffset val="100"/>
        <c:noMultiLvlLbl val="0"/>
      </c:catAx>
      <c:valAx>
        <c:axId val="115233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Kumulierter Netto-Cashflow (CHF)</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CHF ]#,##0;\([$CHF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24140352"/>
        <c:crosses val="autoZero"/>
        <c:crossBetween val="between"/>
      </c:valAx>
      <c:spPr>
        <a:solidFill>
          <a:srgbClr val="F9FBF9"/>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43794</xdr:rowOff>
    </xdr:from>
    <xdr:to>
      <xdr:col>8</xdr:col>
      <xdr:colOff>10948</xdr:colOff>
      <xdr:row>27</xdr:row>
      <xdr:rowOff>76638</xdr:rowOff>
    </xdr:to>
    <xdr:graphicFrame macro="">
      <xdr:nvGraphicFramePr>
        <xdr:cNvPr id="2" name="Chart 1">
          <a:extLst>
            <a:ext uri="{FF2B5EF4-FFF2-40B4-BE49-F238E27FC236}">
              <a16:creationId xmlns:a16="http://schemas.microsoft.com/office/drawing/2014/main" id="{F76447C3-0340-4347-8966-3BC81BFB2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342800</xdr:colOff>
      <xdr:row>2</xdr:row>
      <xdr:rowOff>165180</xdr:rowOff>
    </xdr:from>
    <xdr:to>
      <xdr:col>20</xdr:col>
      <xdr:colOff>342900</xdr:colOff>
      <xdr:row>14</xdr:row>
      <xdr:rowOff>134540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35</xdr:row>
      <xdr:rowOff>101600</xdr:rowOff>
    </xdr:from>
    <xdr:to>
      <xdr:col>21</xdr:col>
      <xdr:colOff>241300</xdr:colOff>
      <xdr:row>54</xdr:row>
      <xdr:rowOff>25400</xdr:rowOff>
    </xdr:to>
    <xdr:graphicFrame macro="">
      <xdr:nvGraphicFramePr>
        <xdr:cNvPr id="4" name="Chart 3">
          <a:extLst>
            <a:ext uri="{FF2B5EF4-FFF2-40B4-BE49-F238E27FC236}">
              <a16:creationId xmlns:a16="http://schemas.microsoft.com/office/drawing/2014/main" id="{E52F9565-FB04-D92A-80C3-51A5EC83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ess, Roman" id="{7596C7E3-23C6-9245-98C4-16F7A462C693}" userId="roman.hess@zuhlke.com" providerId="PeoplePicker"/>
  <person displayName="Hess, Roman" id="{E95AC9DD-FDA4-A746-A92B-1739A9F9B51D}" userId="S::roman.hess@zuhlke.com::aa7f16e0-5ba9-4ef0-923f-0a295216ce64" providerId="AD"/>
  <person displayName="Oesch, Sabrina" id="{96BD7573-9BA8-5E48-993D-473A3AAA87F6}" userId="S::Sabrina.Oesch@zuehlke.com::427b2b9e-7643-4f59-9bf4-f480f89f737d" providerId="AD"/>
  <person displayName="Staudenmayer, Simon" id="{E66ACBD8-2B5F-374A-9F30-F6C9C8C25654}" userId="S::simon.staudenmayer@zuhlke.com::be43962a-3e99-4918-9309-7499589dd602" providerId="AD"/>
</personList>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4-21T06:34:36.57" personId="{E66ACBD8-2B5F-374A-9F30-F6C9C8C25654}" id="{B9D9F5E2-1E93-6448-BFF9-153A7C52BEA7}">
    <text>Selbst bei Opensource würde man wohl hier eher auf Frontier-Lab-Models (Non-OSS) gehen</text>
  </threadedComment>
  <threadedComment ref="E6" dT="2026-04-21T12:06:52.45" personId="{E95AC9DD-FDA4-A746-A92B-1739A9F9B51D}" id="{9A4103B7-719E-9C49-8318-3046EC475F3D}" parentId="{B9D9F5E2-1E93-6448-BFF9-153A7C52BEA7}">
    <text>Ja macht Sinn. Das schreibe ich um</text>
  </threadedComment>
  <threadedComment ref="F9" dT="2026-04-21T06:26:01.14" personId="{E66ACBD8-2B5F-374A-9F30-F6C9C8C25654}" id="{6793F4F1-E738-8946-B16F-FDC171703C3D}">
    <text>Warum hier höher als beim Rest?</text>
  </threadedComment>
  <threadedComment ref="F9" dT="2026-04-21T12:08:33.19" personId="{E95AC9DD-FDA4-A746-A92B-1739A9F9B51D}" id="{251A494D-BBD1-C146-9460-1DD776FE3170}" parentId="{6793F4F1-E738-8946-B16F-FDC171703C3D}">
    <text xml:space="preserve">Gute Frage. Ich pass das an. GCP Vertex ist ja ähnlich wie Copilot
</text>
  </threadedComment>
  <threadedComment ref="H10" dT="2026-04-21T06:35:54.85" personId="{E66ACBD8-2B5F-374A-9F30-F6C9C8C25654}" id="{98FC6329-36E7-9940-A6C2-B5209E8FF78E}">
    <text>Gibt es eine Begründung für die höhere Bewertung der Cloudservices-Varianten? Weniger cusomizable?</text>
  </threadedComment>
  <threadedComment ref="H10" dT="2026-04-21T12:10:58.81" personId="{E95AC9DD-FDA4-A746-A92B-1739A9F9B51D}" id="{9A996B00-01F2-EB49-B07D-DA27C0A5B430}" parentId="{98FC6329-36E7-9940-A6C2-B5209E8FF78E}">
    <text>Ich hab sie jetzt gleich genommen mit dem Copilot und die OpenSource variante etwas höher genommen</text>
  </threadedComment>
  <threadedComment ref="H11" dT="2026-04-21T06:59:29.24" personId="{E66ACBD8-2B5F-374A-9F30-F6C9C8C25654}" id="{D56D1D76-3D30-224D-BC66-17B00DA39791}">
    <text xml:space="preserve">Du machst hier keine Unterscheidung zwischen Application Manager und Entwicklung. Meines Erachtens fehlt noch ein Weiterentwickungs-/Bugfixes und Patching-Posten (Klammer Dev?). Wenn ich mir die Architektur anschaue, dann unterscheidet  sich Azure zu Azure OSS in Azure AI Agent Service zu Azure Container Apps. Also wäre für mich der Plattform-Aufwand dort nahezu gleich. Den Dev Aufwand würde ich bei normalerweise bei OSS dagegen höher als bei den Cloudvarianten sehen. Allerdings würden wir ja auch bei Azure mit der SDK entwickeln (bei MS mit Sicherheit umstàndlich:-)). Summa summarum. Wenn Du Plattform / Integration um Dev erweiterst (eine Klammer), denke ich ist eine Abweichung zu gunsten OSS nach unten vertretbar, allerdings nicht so deutlich. Viellecht 50% vs. 40%. </text>
  </threadedComment>
  <threadedComment ref="H11" dT="2026-04-21T12:12:28.18" personId="{E95AC9DD-FDA4-A746-A92B-1739A9F9B51D}" id="{1C1E6BCD-3451-8A48-BD51-B699F5F7B780}" parentId="{D56D1D76-3D30-224D-BC66-17B00DA39791}">
    <text xml:space="preserve">Passt ich habe es angepasst
</text>
  </threadedComment>
  <threadedComment ref="H12" dT="2026-04-21T07:13:35.25" personId="{E66ACBD8-2B5F-374A-9F30-F6C9C8C25654}" id="{ADE56373-F079-DD48-92C8-811AE6E1D632}">
    <text>Kannst Du die Abweichungen begründen. Warum Azure am höchsten? Ich sehe da keine grossen Unterschiede zwischen den Varianten</text>
  </threadedComment>
  <threadedComment ref="H12" dT="2026-04-21T12:13:12.79" personId="{E95AC9DD-FDA4-A746-A92B-1739A9F9B51D}" id="{2E3E294D-A302-C143-8646-075B527B83DD}" parentId="{ADE56373-F079-DD48-92C8-811AE6E1D632}">
    <text xml:space="preserve">Korrekt. Ich habe es nun etwas angepasst und näher zusammengenommen.
</text>
  </threadedComment>
  <threadedComment ref="F22" dT="2026-04-21T07:22:43.88" personId="{E66ACBD8-2B5F-374A-9F30-F6C9C8C25654}" id="{4076236C-546D-A345-93A6-847879647F82}">
    <text>Das GCP nur 1/10 des Azure-Preises sein soll, kommt mir nicht sehr realistisch vor. Siehe mein Input der Kostenschätzung von damals</text>
  </threadedComment>
  <threadedComment ref="G23" dT="2026-04-21T07:24:24.14" personId="{E66ACBD8-2B5F-374A-9F30-F6C9C8C25654}" id="{34ACE1C1-9063-6640-9914-5CEFDEC3FAE2}">
    <text>vs.1250 CHF in Kostenschàtzung</text>
  </threadedComment>
  <threadedComment ref="F27" dT="2026-04-21T07:37:17.73" personId="{E66ACBD8-2B5F-374A-9F30-F6C9C8C25654}" id="{0D197E9F-0316-074A-9768-EFE15200DF50}">
    <text>Wie wird Memory hier gehandelt?</text>
  </threadedComment>
  <threadedComment ref="F27" dT="2026-04-21T07:55:21.44" personId="{E95AC9DD-FDA4-A746-A92B-1739A9F9B51D}" id="{37FA03BF-AA4F-6642-983A-282BA428BEB9}" parentId="{0D197E9F-0316-074A-9768-EFE15200DF50}">
    <text>Gute Frage. Memory für die DB? Müsste wohl hier aufgeführt werden. Kenn mich da mit Vertex aber nicht ganz so gut aus</text>
  </threadedComment>
  <threadedComment ref="F27" dT="2026-04-21T08:14:23.59" personId="{E66ACBD8-2B5F-374A-9F30-F6C9C8C25654}" id="{347C4652-2954-455A-B947-8734DA886CDB}" parentId="{0D197E9F-0316-074A-9768-EFE15200DF50}">
    <text>Nein nicht Memory für die DB, sondern wie wird Memory bzw. Historie gespeichert. Bei allen anderen ist es ja nicht Null.</text>
  </threadedComment>
  <threadedComment ref="F27" dT="2026-04-21T08:17:16.32" personId="{E66ACBD8-2B5F-374A-9F30-F6C9C8C25654}" id="{68AEC3AB-3813-0040-95C3-7A35C399CA9E}" parentId="{0D197E9F-0316-074A-9768-EFE15200DF50}">
    <text>Ah, lese gerade, dass das bei Vertext AI schon inkludiert ist.</text>
  </threadedComment>
  <threadedComment ref="F27" dT="2026-04-21T12:13:43.36" personId="{E95AC9DD-FDA4-A746-A92B-1739A9F9B51D}" id="{B72D89A3-9AE3-D142-AB67-E8A1E83AEC4E}" parentId="{0D197E9F-0316-074A-9768-EFE15200DF50}">
    <text>Top. Dann passt das so oder?</text>
  </threadedComment>
  <threadedComment ref="F39" dT="2026-04-21T07:43:29.73" personId="{E66ACBD8-2B5F-374A-9F30-F6C9C8C25654}" id="{F69F1F73-4F1D-374E-8AD1-EBCB6AFE25CC}">
    <text>Da gehe ich davon aus, dass GCP womöglich in nichts nachsteht</text>
  </threadedComment>
  <threadedComment ref="F39" dT="2026-04-21T12:14:16.40" personId="{E95AC9DD-FDA4-A746-A92B-1739A9F9B51D}" id="{AE9492BD-42F1-7D4E-A953-3D5ED864AFB5}" parentId="{F69F1F73-4F1D-374E-8AD1-EBCB6AFE25CC}">
    <text>Ist angepasst</text>
  </threadedComment>
  <threadedComment ref="H42" dT="2026-04-21T07:41:30.49" personId="{E66ACBD8-2B5F-374A-9F30-F6C9C8C25654}" id="{CB7F11CF-4496-EE44-87C0-4539011BF503}">
    <text>Ich weiss nicht, wie das nachher verarbeitet wird, aber die Skala ist gegenüber allen anderen gedreht...</text>
  </threadedComment>
  <threadedComment ref="H42" dT="2026-04-21T08:37:14.95" personId="{E95AC9DD-FDA4-A746-A92B-1739A9F9B51D}" id="{86371D75-AC6F-B448-90CC-02BB66320EAF}" parentId="{CB7F11CF-4496-EE44-87C0-4539011BF503}">
    <text>Passt ich habs angepasst</text>
  </threadedComment>
</ThreadedComments>
</file>

<file path=xl/threadedComments/threadedComment2.xml><?xml version="1.0" encoding="utf-8"?>
<ThreadedComments xmlns="http://schemas.microsoft.com/office/spreadsheetml/2018/threadedcomments" xmlns:x="http://schemas.openxmlformats.org/spreadsheetml/2006/main">
  <threadedComment ref="M29" dT="2026-04-21T10:59:36.07" personId="{E66ACBD8-2B5F-374A-9F30-F6C9C8C25654}" id="{9F1D42E5-33F7-4BBC-97B8-DBD861D5FA53}">
    <text>Fehlt hier noch ein Cloud Engineer, z.B. im Falle Azure müsste ja IaC alles gemacht werden. Macht das Bison?</text>
  </threadedComment>
  <threadedComment ref="M29" dT="2026-04-21T12:02:53.26" personId="{E95AC9DD-FDA4-A746-A92B-1739A9F9B51D}" id="{839991A2-7893-CA48-B2DB-A86132B1625D}" parentId="{9F1D42E5-33F7-4BBC-97B8-DBD861D5FA53}">
    <text xml:space="preserve">Denkst du das kann nicht über die Rolle Solution Architect / Lead Engineer abgedeckt werden?
</text>
  </threadedComment>
  <threadedComment ref="M29" dT="2026-04-21T12:40:27.48" personId="{E66ACBD8-2B5F-374A-9F30-F6C9C8C25654}" id="{DE130640-3D0E-AC43-827D-972822723883}" parentId="{9F1D42E5-33F7-4BBC-97B8-DBD861D5FA53}">
    <text>Vielleicht ist mir seine Rolle auch noch nicht ganz klar, vor allem bei jedem Use Case. Programmiert sie / er das Backend / Frontend oder ist sie / er für den Platffromaufbau zustàndig? Falls letzters wèrde ich es vermutlich eher von den Use Cases entkoppeln.</text>
  </threadedComment>
  <threadedComment ref="M29" dT="2026-04-21T12:48:57.76" personId="{E66ACBD8-2B5F-374A-9F30-F6C9C8C25654}" id="{D1D4C93B-99E5-664C-B722-2E2BED91D319}" parentId="{9F1D42E5-33F7-4BBC-97B8-DBD861D5FA53}">
    <text>Oder wenn Du die Projektphase / Integration für die Konzeption vorsiehst und die Use Cases für die iterative Umsetzung der Architektur, dann würde ich den Data Architekt in der ersten Phase und den Cloud Engineer in der zweiten Phase  (bei den Use Cases) sehen</text>
  </threadedComment>
  <threadedComment ref="M29" dT="2026-04-21T12:50:05.12" personId="{E66ACBD8-2B5F-374A-9F30-F6C9C8C25654}" id="{B66F1D1D-3FA8-9042-B4DA-C4162E511B5C}" parentId="{9F1D42E5-33F7-4BBC-97B8-DBD861D5FA53}">
    <text xml:space="preserve">IaC ist nicht unbedingt ein Skill, das ein Data Architect / Solution Architect zwangsläufig mitbringt. </text>
  </threadedComment>
  <threadedComment ref="C43" dT="2026-04-15T09:26:11.11" personId="{96BD7573-9BA8-5E48-993D-473A3AAA87F6}" id="{1C799DC6-139F-3B48-AE7F-FC6BA49876A6}">
    <text xml:space="preserve">@Hess, Roman die Wochenschätzungen sind nicht realistisch. 1 Woche für einen Use Case End-to-end von der Analyse, Datenaufbereitung, Entwicklung, Integration, Testing ist zu wenig. 1 Monat wäre wahrscheinlich realistischer. </text>
    <mentions>
      <mention mentionpersonId="{7596C7E3-23C6-9245-98C4-16F7A462C693}" mentionId="{4E1550E9-860B-AF47-A002-622229A6AA02}" startIndex="0" length="12"/>
    </mentions>
  </threadedComment>
  <threadedComment ref="C43" dT="2026-04-16T13:44:48.15" personId="{E95AC9DD-FDA4-A746-A92B-1739A9F9B51D}" id="{7277D38D-32CF-AE4A-81BA-8EB9210B63EE}" parentId="{1C799DC6-139F-3B48-AE7F-FC6BA49876A6}">
    <text>Die Wochenschätzung basiert aktuell auf der maximalen Anzahl Tage pro Rolle / 5.
Also wie viele Wochen nicht parallelisiert werden können. Ich kann die Berechnung noch anpassen</text>
  </threadedComment>
  <threadedComment ref="C43" dT="2026-04-17T06:38:23.56" personId="{96BD7573-9BA8-5E48-993D-473A3AAA87F6}" id="{6FFF1C21-35A0-CE48-8E22-9A2C9CECCAC8}" parentId="{1C799DC6-139F-3B48-AE7F-FC6BA49876A6}">
    <text>Ja würde ich anpassen, oder vielleicht ganz weglassen. PT sind wichtiger und aussagekräftiger</text>
  </threadedComment>
  <threadedComment ref="H43" dT="2026-04-15T09:27:31.18" personId="{96BD7573-9BA8-5E48-993D-473A3AAA87F6}" id="{0D45EA30-3B7C-5345-9919-A3C89B003D6F}">
    <text xml:space="preserve">@Hess, Roman die PT Schätzungen sind alle sehr tief, wahrscheinlich nicht realistisch. </text>
    <mentions>
      <mention mentionpersonId="{7596C7E3-23C6-9245-98C4-16F7A462C693}" mentionId="{F375149F-4070-F343-BEED-2166A48BE6CA}" startIndex="0" length="12"/>
    </mentions>
  </threadedComment>
  <threadedComment ref="H43" dT="2026-04-16T13:45:56.15" personId="{E95AC9DD-FDA4-A746-A92B-1739A9F9B51D}" id="{26AF19F0-8E27-364F-9C33-F164AF131BFB}" parentId="{0D45EA30-3B7C-5345-9919-A3C89B003D6F}">
    <text>Hier stellt sich die Frage, wie anspruchsvoll die Implementierung noch sein wird. Nachdem die Daten angebunden können die Agenten ja copy pasted werden (bildlich gesprochen) :D</text>
  </threadedComment>
  <threadedComment ref="H43" dT="2026-04-17T06:40:27.33" personId="{96BD7573-9BA8-5E48-993D-473A3AAA87F6}" id="{44009C93-A8B4-8A47-8F8E-90651425E052}" parentId="{0D45EA30-3B7C-5345-9919-A3C89B003D6F}">
    <text xml:space="preserve">In der Theorie ist immer alles einfach. In der Praxis tauchen dann oft unerwartete Probleme auf. Testing und iterative Verbesserungen wird sicher aufwendig sein. Da hätte wahrscheinlich Silvan Melchior einiges zu berichten. Ich würde deshalb genug einplanen, wir dürfen ruhig auf knapp eine Million kommen für das MVP denke ich. </text>
  </threadedComment>
  <threadedComment ref="H43" dT="2026-04-21T10:57:32.60" personId="{E66ACBD8-2B5F-374A-9F30-F6C9C8C25654}" id="{941F0149-DB02-47FD-87A3-65FF3E0C6330}" parentId="{0D45EA30-3B7C-5345-9919-A3C89B003D6F}">
    <text>Also ich schliesse mich da an: ich denke 1 Tag pro Use Case für den AI Engineer ist sehr optimistisch</text>
  </threadedComment>
  <threadedComment ref="H43" dT="2026-04-21T12:04:31.98" personId="{E95AC9DD-FDA4-A746-A92B-1739A9F9B51D}" id="{EF984504-A884-DD48-BC4A-5E9F64DD44BA}" parentId="{0D45EA30-3B7C-5345-9919-A3C89B003D6F}">
    <text>Passt</text>
  </threadedComment>
  <threadedComment ref="B56" dT="2026-04-15T09:24:42.08" personId="{96BD7573-9BA8-5E48-993D-473A3AAA87F6}" id="{D969DA4C-C470-664B-9658-6326558FDF8B}">
    <text xml:space="preserve">@Hess, Roman bei allen Rollen sollten wir einen Prozentsatz draufrechnen für Abstimmung, wie zum Beispiel die ganzen Scrum Meetings. Das können schon so 15-20% sein denke ich. </text>
    <mentions>
      <mention mentionpersonId="{7596C7E3-23C6-9245-98C4-16F7A462C693}" mentionId="{D4C922F0-AB6C-1142-995C-D0B9D339C8AB}" startIndex="0" length="12"/>
    </mentions>
  </threadedComment>
  <threadedComment ref="B56" dT="2026-04-16T13:49:02.59" personId="{E95AC9DD-FDA4-A746-A92B-1739A9F9B51D}" id="{F1EFC48C-E130-BE42-8051-46BAC4D22143}" parentId="{D969DA4C-C470-664B-9658-6326558FDF8B}">
    <text>Passt</text>
  </threadedComment>
  <threadedComment ref="B56" dT="2026-04-21T10:56:04.87" personId="{E66ACBD8-2B5F-374A-9F30-F6C9C8C25654}" id="{6DA1CD3A-E9BE-4F8C-88D0-07AF6AD289E9}" parentId="{D969DA4C-C470-664B-9658-6326558FDF8B}">
    <text>Zudem: wer erstellt das Betriebskonzept? Ist das Teil dieses Items? PMO / Steuerung...</text>
  </threadedComment>
  <threadedComment ref="B56" dT="2026-04-21T12:04:56.46" personId="{E95AC9DD-FDA4-A746-A92B-1739A9F9B51D}" id="{B7F4B373-6640-094C-BBC9-69AE98780CD8}" parentId="{D969DA4C-C470-664B-9658-6326558FDF8B}">
    <text>Was genau meinst du mit Betriebskonzept?
Also wie ein produktiver Betrieb laufen würde?</text>
  </threadedComment>
  <threadedComment ref="L58" dT="2026-04-15T09:28:51.59" personId="{96BD7573-9BA8-5E48-993D-473A3AAA87F6}" id="{BC700621-1946-A74D-809C-98E51BB24931}">
    <text>@Hess, Roman Preis für MVP ist zu tief. Der geht aber hoch wenn wir die PTs anpassen. 1 Mio wäre realistisch. Sie haben 2 Mio Budget wenn ich mich richtig erinnere.</text>
    <mentions>
      <mention mentionpersonId="{7596C7E3-23C6-9245-98C4-16F7A462C693}" mentionId="{1CFA3E70-0DEB-D747-83B5-A241BD8FA90D}" startIndex="0" length="12"/>
    </mentions>
  </threadedComment>
  <threadedComment ref="L58" dT="2026-04-16T13:49:33.74" personId="{E95AC9DD-FDA4-A746-A92B-1739A9F9B51D}" id="{1699631F-843E-6F42-917C-AD7B24F57467}" parentId="{BC700621-1946-A74D-809C-98E51BB24931}">
    <text xml:space="preserve">Ich glaube 2 Mio. waren für das komplette Projekt von Discovery bis Go Live </text>
  </threadedComment>
</ThreadedComments>
</file>

<file path=xl/threadedComments/threadedComment3.xml><?xml version="1.0" encoding="utf-8"?>
<ThreadedComments xmlns="http://schemas.microsoft.com/office/spreadsheetml/2018/threadedcomments" xmlns:x="http://schemas.openxmlformats.org/spreadsheetml/2006/main">
  <threadedComment ref="B67" dT="2026-04-15T09:40:46.57" personId="{96BD7573-9BA8-5E48-993D-473A3AAA87F6}" id="{937604DE-E6F2-644D-A761-A93EA3C6DD8E}">
    <text>@Hess, Roman die Werte sind zu tief, sollten aber korrigiert werden wenn wir Abschnitt 2 korrigieren</text>
    <mentions>
      <mention mentionpersonId="{7596C7E3-23C6-9245-98C4-16F7A462C693}" mentionId="{9336F255-9247-314B-9F43-97AC4769F726}" startIndex="0" length="1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AB25" dT="2026-03-18T12:26:10.67" personId="{96BD7573-9BA8-5E48-993D-473A3AAA87F6}" id="{2E5E5AE9-F3EF-A546-BACB-32C1EC3F9ACB}">
    <text>Annahme: 10% mehr Ersatzteilverkäufe (236'874 Ersatzteile an Endkunden im 2025)</text>
  </threadedComment>
  <threadedComment ref="AC25" dT="2026-03-19T07:17:09.55" personId="{96BD7573-9BA8-5E48-993D-473A3AAA87F6}" id="{25CB2C34-F046-A249-ACCE-3FF741DB8A4F}">
    <text>Im Schnitt 6.- pro Ersatzteil, darauf 25% Marge</text>
  </threadedComment>
  <threadedComment ref="AD25" dT="2026-03-19T07:18:51.97" personId="{96BD7573-9BA8-5E48-993D-473A3AAA87F6}" id="{2C0FFDF7-6E4F-6640-A8BE-DC865B770795}">
    <text xml:space="preserve">Es ist fraglich, ob aus dem zusätzlichen Ersatzteilverkauf wirklich ein Umsatzwachstum entsteht, oder ob die Ersatzteile meistens auf Garantie laufen. In dem Fall würde es vielleicht mehr Sinn machen die Fälle zu schätzen, wo statt dem ganzen Produkt nur das Ersatzteil auf Garantie rausgegeben werden muss. </text>
  </threadedComment>
  <threadedComment ref="O27" dT="2026-03-16T15:41:03.66" personId="{96BD7573-9BA8-5E48-993D-473A3AAA87F6}" id="{0465A196-186E-7E49-8034-C84A3372A64B}">
    <text>Kundendaten müssen immer noch manuell erfasst werden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0388A0-2B99-6D4B-84AA-C2A5B6413F6D}">
  <we:reference id="WA200009404" version="1.0.0.8" store="Omex" storeType="OMEX"/>
  <we:alternateReferences>
    <we:reference id="WA200009404" version="1.0.0.8" store="WA200009404" storeType="OMEX"/>
  </we:alternateReferences>
  <we:properties>
    <we:property name="claude.fileId" value="&quot;cd5a1321-139a-4389-98a3-354aa90ff16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8"/>
  <sheetViews>
    <sheetView showGridLines="0" tabSelected="1" zoomScaleNormal="100" workbookViewId="0">
      <selection activeCell="C4" sqref="C4"/>
    </sheetView>
  </sheetViews>
  <sheetFormatPr baseColWidth="10" defaultColWidth="8.83203125" defaultRowHeight="15" x14ac:dyDescent="0.2"/>
  <cols>
    <col min="2" max="2" width="24" customWidth="1"/>
    <col min="3" max="3" width="110" customWidth="1"/>
  </cols>
  <sheetData>
    <row r="2" spans="2:8" ht="24" customHeight="1" x14ac:dyDescent="0.2">
      <c r="B2" s="151" t="s">
        <v>0</v>
      </c>
      <c r="C2" s="151"/>
      <c r="D2" s="151"/>
      <c r="E2" s="151"/>
      <c r="F2" s="151"/>
      <c r="G2" s="151"/>
      <c r="H2" s="151"/>
    </row>
    <row r="4" spans="2:8" ht="31.5" customHeight="1" x14ac:dyDescent="0.2">
      <c r="B4" s="2" t="s">
        <v>1</v>
      </c>
      <c r="C4" s="3" t="s">
        <v>2</v>
      </c>
    </row>
    <row r="5" spans="2:8" ht="31.5" customHeight="1" x14ac:dyDescent="0.2">
      <c r="B5" s="2" t="s">
        <v>3</v>
      </c>
      <c r="C5" s="3" t="s">
        <v>1154</v>
      </c>
    </row>
    <row r="6" spans="2:8" ht="32" x14ac:dyDescent="0.2">
      <c r="B6" s="4" t="s">
        <v>4</v>
      </c>
      <c r="C6" s="3" t="s">
        <v>5</v>
      </c>
    </row>
    <row r="7" spans="2:8" ht="31.5" customHeight="1" x14ac:dyDescent="0.2">
      <c r="B7" s="4" t="s">
        <v>6</v>
      </c>
      <c r="C7" s="3" t="s">
        <v>1153</v>
      </c>
    </row>
    <row r="8" spans="2:8" ht="15" customHeight="1" x14ac:dyDescent="0.2">
      <c r="B8" s="5" t="s">
        <v>7</v>
      </c>
      <c r="C8" s="3" t="s">
        <v>1152</v>
      </c>
    </row>
  </sheetData>
  <mergeCells count="1">
    <mergeCell ref="B2:H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41"/>
  <sheetViews>
    <sheetView showGridLines="0" zoomScale="116" zoomScaleNormal="116" workbookViewId="0">
      <selection activeCell="B44" sqref="B44"/>
    </sheetView>
  </sheetViews>
  <sheetFormatPr baseColWidth="10" defaultColWidth="8.83203125" defaultRowHeight="15" x14ac:dyDescent="0.2"/>
  <cols>
    <col min="2" max="2" width="34" customWidth="1"/>
    <col min="3" max="6" width="18" customWidth="1"/>
    <col min="7" max="7" width="23.1640625" customWidth="1"/>
    <col min="8" max="8" width="30.5" customWidth="1"/>
  </cols>
  <sheetData>
    <row r="2" spans="2:8" ht="24" customHeight="1" x14ac:dyDescent="0.2">
      <c r="B2" s="151" t="s">
        <v>8</v>
      </c>
      <c r="C2" s="151"/>
      <c r="D2" s="151"/>
      <c r="E2" s="151"/>
      <c r="F2" s="151"/>
      <c r="G2" s="151"/>
      <c r="H2" s="151"/>
    </row>
    <row r="4" spans="2:8" ht="15" customHeight="1" x14ac:dyDescent="0.2">
      <c r="B4" s="156" t="s">
        <v>1147</v>
      </c>
      <c r="C4" s="156"/>
      <c r="D4" s="156"/>
      <c r="E4" s="156"/>
      <c r="F4" s="156"/>
      <c r="G4" s="156"/>
      <c r="H4" s="156"/>
    </row>
    <row r="5" spans="2:8" ht="31.5" customHeight="1" x14ac:dyDescent="0.2">
      <c r="B5" s="6" t="s">
        <v>9</v>
      </c>
      <c r="C5" s="6" t="s">
        <v>10</v>
      </c>
      <c r="D5" s="6" t="s">
        <v>11</v>
      </c>
      <c r="E5" s="6" t="s">
        <v>12</v>
      </c>
      <c r="F5" s="6" t="s">
        <v>13</v>
      </c>
      <c r="G5" s="6" t="s">
        <v>1146</v>
      </c>
      <c r="H5" s="6" t="s">
        <v>24</v>
      </c>
    </row>
    <row r="6" spans="2:8" ht="87.75" customHeight="1" x14ac:dyDescent="0.2">
      <c r="B6" s="7" t="s">
        <v>15</v>
      </c>
      <c r="C6" s="8" t="s">
        <v>1145</v>
      </c>
      <c r="D6" s="8" t="s">
        <v>16</v>
      </c>
      <c r="E6" s="8" t="s">
        <v>17</v>
      </c>
      <c r="F6" s="8" t="s">
        <v>18</v>
      </c>
      <c r="G6" s="8" t="s">
        <v>19</v>
      </c>
      <c r="H6" s="9" t="s">
        <v>20</v>
      </c>
    </row>
    <row r="7" spans="2:8" ht="15" customHeight="1" x14ac:dyDescent="0.2">
      <c r="B7" s="1"/>
      <c r="C7" s="1"/>
      <c r="D7" s="1"/>
      <c r="E7" s="1"/>
      <c r="F7" s="1"/>
      <c r="H7" s="1"/>
    </row>
    <row r="8" spans="2:8" ht="15" customHeight="1" x14ac:dyDescent="0.2">
      <c r="B8" s="157" t="s">
        <v>1148</v>
      </c>
      <c r="C8" s="157"/>
      <c r="D8" s="157"/>
      <c r="E8" s="157"/>
      <c r="F8" s="157"/>
      <c r="G8" s="157"/>
      <c r="H8" s="157"/>
    </row>
    <row r="9" spans="2:8" ht="31.5" customHeight="1" x14ac:dyDescent="0.2">
      <c r="B9" s="6" t="s">
        <v>21</v>
      </c>
      <c r="C9" s="6" t="s">
        <v>10</v>
      </c>
      <c r="D9" s="6" t="s">
        <v>22</v>
      </c>
      <c r="E9" s="6" t="s">
        <v>23</v>
      </c>
      <c r="F9" s="6" t="s">
        <v>13</v>
      </c>
      <c r="G9" s="6" t="s">
        <v>1143</v>
      </c>
      <c r="H9" s="6" t="s">
        <v>24</v>
      </c>
    </row>
    <row r="10" spans="2:8" ht="15.75" customHeight="1" x14ac:dyDescent="0.2">
      <c r="B10" s="10" t="s">
        <v>25</v>
      </c>
      <c r="C10" s="11">
        <f>'05_KOSTEN_MODELL'!C30</f>
        <v>91.375</v>
      </c>
      <c r="D10" s="11">
        <f>'05_KOSTEN_MODELL'!D30</f>
        <v>123.62499999999999</v>
      </c>
      <c r="E10" s="11">
        <f>'05_KOSTEN_MODELL'!E30</f>
        <v>129</v>
      </c>
      <c r="F10" s="11">
        <f>'05_KOSTEN_MODELL'!F30</f>
        <v>107.5</v>
      </c>
      <c r="G10" s="11">
        <f>'05_KOSTEN_MODELL'!G30</f>
        <v>118.25000000000001</v>
      </c>
      <c r="H10" s="9" t="s">
        <v>26</v>
      </c>
    </row>
    <row r="11" spans="2:8" ht="15.75" customHeight="1" x14ac:dyDescent="0.2">
      <c r="B11" s="10" t="s">
        <v>27</v>
      </c>
      <c r="C11" s="11">
        <f>'05_KOSTEN_MODELL'!C31</f>
        <v>34.85</v>
      </c>
      <c r="D11" s="11">
        <f>'05_KOSTEN_MODELL'!D31</f>
        <v>47.15</v>
      </c>
      <c r="E11" s="11">
        <f>'05_KOSTEN_MODELL'!E31</f>
        <v>49.199999999999996</v>
      </c>
      <c r="F11" s="11">
        <f>'05_KOSTEN_MODELL'!F31</f>
        <v>41</v>
      </c>
      <c r="G11" s="11">
        <f>'05_KOSTEN_MODELL'!G31</f>
        <v>45.1</v>
      </c>
      <c r="H11" s="9" t="s">
        <v>28</v>
      </c>
    </row>
    <row r="12" spans="2:8" ht="15.75" customHeight="1" x14ac:dyDescent="0.2">
      <c r="B12" s="10" t="s">
        <v>29</v>
      </c>
      <c r="C12" s="12">
        <f>'05_KOSTEN_MODELL'!C67</f>
        <v>849830</v>
      </c>
      <c r="D12" s="12">
        <f>'05_KOSTEN_MODELL'!D67</f>
        <v>1149770</v>
      </c>
      <c r="E12" s="12">
        <f>'05_KOSTEN_MODELL'!E67</f>
        <v>1199760</v>
      </c>
      <c r="F12" s="12">
        <f>'05_KOSTEN_MODELL'!F67</f>
        <v>999800</v>
      </c>
      <c r="G12" s="12">
        <f>'05_KOSTEN_MODELL'!G67</f>
        <v>1099780</v>
      </c>
      <c r="H12" s="9" t="s">
        <v>30</v>
      </c>
    </row>
    <row r="13" spans="2:8" ht="15.75" customHeight="1" x14ac:dyDescent="0.2">
      <c r="B13" s="10" t="s">
        <v>31</v>
      </c>
      <c r="C13" s="12">
        <f>'05_KOSTEN_MODELL'!C70</f>
        <v>548669.62560000003</v>
      </c>
      <c r="D13" s="12">
        <f>'05_KOSTEN_MODELL'!D70</f>
        <v>415234.36224000005</v>
      </c>
      <c r="E13" s="12">
        <f>'05_KOSTEN_MODELL'!E70</f>
        <v>388869.03244799998</v>
      </c>
      <c r="F13" s="12">
        <f>'05_KOSTEN_MODELL'!F70</f>
        <v>329073.664896</v>
      </c>
      <c r="G13" s="12">
        <f>'05_KOSTEN_MODELL'!G70</f>
        <v>386245.329792</v>
      </c>
      <c r="H13" s="9" t="s">
        <v>32</v>
      </c>
    </row>
    <row r="14" spans="2:8" ht="15.75" customHeight="1" x14ac:dyDescent="0.2">
      <c r="B14" s="10" t="s">
        <v>33</v>
      </c>
      <c r="C14" s="12">
        <f>'05_KOSTEN_MODELL'!C69</f>
        <v>3305878.5440000002</v>
      </c>
      <c r="D14" s="12">
        <f>'05_KOSTEN_MODELL'!D69</f>
        <v>3180398.2976000002</v>
      </c>
      <c r="E14" s="12">
        <f>'05_KOSTEN_MODELL'!E69</f>
        <v>3134996.45952</v>
      </c>
      <c r="F14" s="12">
        <f>'05_KOSTEN_MODELL'!F69</f>
        <v>2626950.9190400001</v>
      </c>
      <c r="G14" s="12">
        <f>'05_KOSTEN_MODELL'!G69</f>
        <v>2994571.8380800001</v>
      </c>
      <c r="H14" s="9" t="s">
        <v>34</v>
      </c>
    </row>
    <row r="15" spans="2:8" ht="15.75" customHeight="1" x14ac:dyDescent="0.2">
      <c r="B15" s="10" t="s">
        <v>35</v>
      </c>
      <c r="C15" s="12">
        <f>'07_VALUE_CASE'!C9</f>
        <v>1207439.4842678299</v>
      </c>
      <c r="D15" s="12">
        <f>'07_VALUE_CASE'!D9</f>
        <v>1349491.1882993393</v>
      </c>
      <c r="E15" s="12">
        <f>'07_VALUE_CASE'!E9</f>
        <v>1349491.1882993393</v>
      </c>
      <c r="F15" s="12">
        <f>'07_VALUE_CASE'!F7</f>
        <v>1278465.3362835846</v>
      </c>
      <c r="G15" s="12">
        <f>'07_VALUE_CASE'!G7</f>
        <v>1349491.1882993393</v>
      </c>
      <c r="H15" s="9" t="s">
        <v>36</v>
      </c>
    </row>
    <row r="16" spans="2:8" ht="15.75" customHeight="1" x14ac:dyDescent="0.2">
      <c r="B16" s="10" t="s">
        <v>37</v>
      </c>
      <c r="C16" s="12">
        <f>'07_VALUE_CASE'!C16</f>
        <v>4695597.9943748936</v>
      </c>
      <c r="D16" s="12">
        <f>'07_VALUE_CASE'!D16</f>
        <v>5248021.2878307635</v>
      </c>
      <c r="E16" s="12">
        <f>'07_VALUE_CASE'!E16</f>
        <v>5248021.2878307635</v>
      </c>
      <c r="F16" s="12">
        <f>'07_VALUE_CASE'!F16</f>
        <v>4971809.6411028281</v>
      </c>
      <c r="G16" s="12">
        <f>'07_VALUE_CASE'!G16</f>
        <v>5248021.2878307635</v>
      </c>
      <c r="H16" s="9" t="s">
        <v>38</v>
      </c>
    </row>
    <row r="17" spans="2:8" ht="15.75" customHeight="1" x14ac:dyDescent="0.2">
      <c r="B17" s="10" t="s">
        <v>39</v>
      </c>
      <c r="C17" s="12">
        <f>'07_VALUE_CASE'!C20</f>
        <v>1389719.4503748934</v>
      </c>
      <c r="D17" s="12">
        <f>'07_VALUE_CASE'!D20</f>
        <v>2067622.9902307633</v>
      </c>
      <c r="E17" s="12">
        <f>'07_VALUE_CASE'!E20</f>
        <v>2113024.8283107635</v>
      </c>
      <c r="F17" s="12">
        <f>'07_VALUE_CASE'!F20</f>
        <v>2344858.722062828</v>
      </c>
      <c r="G17" s="12">
        <f>'07_VALUE_CASE'!G20</f>
        <v>2253449.4497507634</v>
      </c>
      <c r="H17" s="9" t="s">
        <v>40</v>
      </c>
    </row>
    <row r="18" spans="2:8" ht="15.75" customHeight="1" x14ac:dyDescent="0.2">
      <c r="B18" s="10" t="s">
        <v>41</v>
      </c>
      <c r="C18" s="13">
        <f>'07_VALUE_CASE'!C22</f>
        <v>15.480307524424997</v>
      </c>
      <c r="D18" s="13">
        <f>'07_VALUE_CASE'!D22</f>
        <v>14.768144706200593</v>
      </c>
      <c r="E18" s="13">
        <f>'07_VALUE_CASE'!E22</f>
        <v>14.987287053816424</v>
      </c>
      <c r="F18" s="13">
        <f>'07_VALUE_CASE'!F22</f>
        <v>12.6371447755223</v>
      </c>
      <c r="G18" s="13">
        <f>'07_VALUE_CASE'!G22</f>
        <v>13.700925764114713</v>
      </c>
      <c r="H18" s="9" t="s">
        <v>42</v>
      </c>
    </row>
    <row r="19" spans="2:8" ht="15" customHeight="1" x14ac:dyDescent="0.2">
      <c r="B19" s="1"/>
      <c r="C19" s="1"/>
      <c r="D19" s="1"/>
      <c r="E19" s="1"/>
      <c r="F19" s="1"/>
      <c r="H19" s="1"/>
    </row>
    <row r="20" spans="2:8" ht="15" customHeight="1" x14ac:dyDescent="0.2">
      <c r="B20" s="187" t="s">
        <v>1149</v>
      </c>
      <c r="C20" s="187"/>
      <c r="D20" s="187"/>
      <c r="E20" s="187"/>
      <c r="F20" s="187"/>
      <c r="G20" s="187"/>
      <c r="H20" s="187"/>
    </row>
    <row r="21" spans="2:8" ht="15.75" customHeight="1" x14ac:dyDescent="0.2">
      <c r="B21" s="188"/>
      <c r="C21" s="188"/>
      <c r="D21" s="188"/>
      <c r="E21" s="189"/>
      <c r="F21" s="194"/>
      <c r="G21" s="194"/>
      <c r="H21" s="194"/>
    </row>
    <row r="22" spans="2:8" ht="30" customHeight="1" x14ac:dyDescent="0.2">
      <c r="B22" s="190"/>
      <c r="C22" s="191"/>
      <c r="D22" s="192"/>
      <c r="E22" s="189"/>
      <c r="F22" s="194"/>
      <c r="G22" s="194"/>
      <c r="H22" s="194"/>
    </row>
    <row r="23" spans="2:8" ht="15.75" customHeight="1" x14ac:dyDescent="0.2">
      <c r="B23" s="190"/>
      <c r="C23" s="191"/>
      <c r="D23" s="192"/>
      <c r="E23" s="189"/>
      <c r="F23" s="194"/>
      <c r="G23" s="194"/>
      <c r="H23" s="194"/>
    </row>
    <row r="24" spans="2:8" ht="30" customHeight="1" x14ac:dyDescent="0.2">
      <c r="B24" s="190"/>
      <c r="C24" s="191"/>
      <c r="D24" s="192"/>
      <c r="E24" s="189"/>
      <c r="F24" s="194"/>
      <c r="G24" s="194"/>
      <c r="H24" s="194"/>
    </row>
    <row r="25" spans="2:8" ht="45" customHeight="1" x14ac:dyDescent="0.2">
      <c r="B25" s="190"/>
      <c r="C25" s="191"/>
      <c r="D25" s="192"/>
      <c r="E25" s="189"/>
      <c r="F25" s="194"/>
      <c r="G25" s="194"/>
      <c r="H25" s="194"/>
    </row>
    <row r="26" spans="2:8" ht="30" customHeight="1" x14ac:dyDescent="0.2">
      <c r="B26" s="190"/>
      <c r="C26" s="191"/>
      <c r="D26" s="192"/>
      <c r="E26" s="189"/>
      <c r="F26" s="194"/>
      <c r="G26" s="194"/>
      <c r="H26" s="194"/>
    </row>
    <row r="27" spans="2:8" ht="30" customHeight="1" x14ac:dyDescent="0.2">
      <c r="B27" s="190"/>
      <c r="C27" s="193"/>
      <c r="D27" s="192"/>
      <c r="E27" s="189"/>
      <c r="F27" s="194"/>
      <c r="G27" s="194"/>
      <c r="H27" s="194"/>
    </row>
    <row r="28" spans="2:8" ht="15" customHeight="1" x14ac:dyDescent="0.2">
      <c r="B28" s="1"/>
      <c r="C28" s="1"/>
      <c r="D28" s="1"/>
      <c r="E28" s="1"/>
      <c r="F28" s="1"/>
      <c r="H28" s="1"/>
    </row>
    <row r="29" spans="2:8" ht="15" customHeight="1" x14ac:dyDescent="0.2">
      <c r="B29" s="157" t="s">
        <v>45</v>
      </c>
      <c r="C29" s="157"/>
      <c r="D29" s="157"/>
      <c r="E29" s="157"/>
      <c r="F29" s="157"/>
      <c r="G29" s="157"/>
      <c r="H29" s="157"/>
    </row>
    <row r="30" spans="2:8" ht="31.5" customHeight="1" x14ac:dyDescent="0.2">
      <c r="B30" s="6" t="s">
        <v>46</v>
      </c>
      <c r="C30" s="6" t="s">
        <v>10</v>
      </c>
      <c r="D30" s="6" t="s">
        <v>47</v>
      </c>
      <c r="E30" s="6" t="s">
        <v>23</v>
      </c>
      <c r="F30" s="6" t="s">
        <v>13</v>
      </c>
      <c r="G30" s="6" t="s">
        <v>14</v>
      </c>
      <c r="H30" s="6" t="s">
        <v>24</v>
      </c>
    </row>
    <row r="31" spans="2:8" ht="15.75" customHeight="1" x14ac:dyDescent="0.2">
      <c r="B31" s="10" t="s">
        <v>48</v>
      </c>
      <c r="C31" s="16">
        <f>'03_SZENARIOS'!C38</f>
        <v>4</v>
      </c>
      <c r="D31" s="16">
        <f>'03_SZENARIOS'!D38</f>
        <v>4</v>
      </c>
      <c r="E31" s="16">
        <f>'03_SZENARIOS'!E38</f>
        <v>2</v>
      </c>
      <c r="F31" s="16">
        <f>'03_SZENARIOS'!F38</f>
        <v>4</v>
      </c>
      <c r="G31" s="16">
        <f>'03_SZENARIOS'!G38</f>
        <v>3</v>
      </c>
      <c r="H31" s="9" t="s">
        <v>49</v>
      </c>
    </row>
    <row r="32" spans="2:8" ht="15.75" customHeight="1" x14ac:dyDescent="0.2">
      <c r="B32" s="10" t="s">
        <v>50</v>
      </c>
      <c r="C32" s="16">
        <f>'03_SZENARIOS'!C39</f>
        <v>2</v>
      </c>
      <c r="D32" s="16">
        <f>'03_SZENARIOS'!D39</f>
        <v>5</v>
      </c>
      <c r="E32" s="16">
        <f>'03_SZENARIOS'!E39</f>
        <v>5</v>
      </c>
      <c r="F32" s="16">
        <f>'03_SZENARIOS'!F39</f>
        <v>5</v>
      </c>
      <c r="G32" s="16">
        <f>'03_SZENARIOS'!G39</f>
        <v>5</v>
      </c>
      <c r="H32" s="9" t="s">
        <v>51</v>
      </c>
    </row>
    <row r="33" spans="2:8" ht="15.75" customHeight="1" x14ac:dyDescent="0.2">
      <c r="B33" s="10" t="s">
        <v>52</v>
      </c>
      <c r="C33" s="16">
        <f>'03_SZENARIOS'!C40</f>
        <v>3</v>
      </c>
      <c r="D33" s="16">
        <f>'03_SZENARIOS'!D40</f>
        <v>4</v>
      </c>
      <c r="E33" s="16">
        <f>'03_SZENARIOS'!E40</f>
        <v>3</v>
      </c>
      <c r="F33" s="16">
        <f>'03_SZENARIOS'!F40</f>
        <v>4</v>
      </c>
      <c r="G33" s="16">
        <f>'03_SZENARIOS'!G40</f>
        <v>4</v>
      </c>
      <c r="H33" s="9" t="s">
        <v>53</v>
      </c>
    </row>
    <row r="34" spans="2:8" ht="15.75" customHeight="1" x14ac:dyDescent="0.2">
      <c r="B34" s="10" t="s">
        <v>54</v>
      </c>
      <c r="C34" s="16">
        <f>'03_SZENARIOS'!C41</f>
        <v>5</v>
      </c>
      <c r="D34" s="16">
        <f>'03_SZENARIOS'!D41</f>
        <v>4</v>
      </c>
      <c r="E34" s="16">
        <f>'03_SZENARIOS'!E41</f>
        <v>3</v>
      </c>
      <c r="F34" s="16">
        <f>'03_SZENARIOS'!F41</f>
        <v>3</v>
      </c>
      <c r="G34" s="16">
        <f>'03_SZENARIOS'!G41</f>
        <v>3</v>
      </c>
      <c r="H34" s="9" t="s">
        <v>55</v>
      </c>
    </row>
    <row r="35" spans="2:8" ht="15.75" customHeight="1" x14ac:dyDescent="0.2">
      <c r="B35" s="10" t="s">
        <v>56</v>
      </c>
      <c r="C35" s="16">
        <f>'03_SZENARIOS'!C42</f>
        <v>1</v>
      </c>
      <c r="D35" s="16">
        <f>'03_SZENARIOS'!D42</f>
        <v>3</v>
      </c>
      <c r="E35" s="16">
        <f>'03_SZENARIOS'!E42</f>
        <v>5</v>
      </c>
      <c r="F35" s="16">
        <f>'03_SZENARIOS'!F42</f>
        <v>2</v>
      </c>
      <c r="G35" s="16">
        <f>'03_SZENARIOS'!G42</f>
        <v>3</v>
      </c>
      <c r="H35" s="9" t="s">
        <v>1134</v>
      </c>
    </row>
    <row r="36" spans="2:8" ht="15.75" customHeight="1" x14ac:dyDescent="0.2">
      <c r="B36" s="10" t="s">
        <v>57</v>
      </c>
      <c r="C36" s="16">
        <f>'03_SZENARIOS'!C43</f>
        <v>2</v>
      </c>
      <c r="D36" s="16">
        <f>'03_SZENARIOS'!D43</f>
        <v>5</v>
      </c>
      <c r="E36" s="16">
        <f>'03_SZENARIOS'!E43</f>
        <v>5</v>
      </c>
      <c r="F36" s="16">
        <f>'03_SZENARIOS'!F43</f>
        <v>4</v>
      </c>
      <c r="G36" s="16">
        <f>'03_SZENARIOS'!G43</f>
        <v>5</v>
      </c>
      <c r="H36" s="9" t="s">
        <v>58</v>
      </c>
    </row>
    <row r="37" spans="2:8" ht="15.75" customHeight="1" x14ac:dyDescent="0.2">
      <c r="B37" s="10" t="s">
        <v>59</v>
      </c>
      <c r="C37" s="16">
        <f>'03_SZENARIOS'!C44</f>
        <v>2</v>
      </c>
      <c r="D37" s="16">
        <f>'03_SZENARIOS'!D44</f>
        <v>5</v>
      </c>
      <c r="E37" s="16">
        <f>'03_SZENARIOS'!E44</f>
        <v>5</v>
      </c>
      <c r="F37" s="16">
        <f>'03_SZENARIOS'!F44</f>
        <v>5</v>
      </c>
      <c r="G37" s="16">
        <f>'03_SZENARIOS'!G44</f>
        <v>5</v>
      </c>
      <c r="H37" s="9" t="s">
        <v>60</v>
      </c>
    </row>
    <row r="38" spans="2:8" ht="15" customHeight="1" x14ac:dyDescent="0.2">
      <c r="B38" s="1"/>
      <c r="C38" s="1"/>
      <c r="D38" s="1"/>
      <c r="E38" s="1"/>
      <c r="F38" s="1"/>
      <c r="H38" s="1"/>
    </row>
    <row r="39" spans="2:8" ht="15" customHeight="1" x14ac:dyDescent="0.2">
      <c r="B39" s="157" t="s">
        <v>1150</v>
      </c>
      <c r="C39" s="157"/>
      <c r="D39" s="157"/>
      <c r="E39" s="157"/>
      <c r="F39" s="157"/>
      <c r="G39" s="157"/>
      <c r="H39" s="157"/>
    </row>
    <row r="40" spans="2:8" ht="64.5" customHeight="1" x14ac:dyDescent="0.2">
      <c r="B40" s="155" t="s">
        <v>1151</v>
      </c>
      <c r="C40" s="155"/>
      <c r="D40" s="155"/>
      <c r="E40" s="155"/>
      <c r="F40" s="155"/>
      <c r="G40" s="155"/>
      <c r="H40" s="155"/>
    </row>
    <row r="41" spans="2:8" ht="42" customHeight="1" x14ac:dyDescent="0.2">
      <c r="B41" s="155"/>
      <c r="C41" s="155"/>
      <c r="D41" s="155"/>
      <c r="E41" s="155"/>
      <c r="F41" s="155"/>
      <c r="G41" s="155"/>
      <c r="H41" s="155"/>
    </row>
  </sheetData>
  <mergeCells count="7">
    <mergeCell ref="B39:H39"/>
    <mergeCell ref="B40:H41"/>
    <mergeCell ref="B2:H2"/>
    <mergeCell ref="B4:H4"/>
    <mergeCell ref="B8:H8"/>
    <mergeCell ref="B20:H20"/>
    <mergeCell ref="B29:H29"/>
  </mergeCell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98"/>
  <sheetViews>
    <sheetView showGridLines="0" zoomScaleNormal="150" workbookViewId="0">
      <selection activeCell="B84" sqref="B84"/>
    </sheetView>
  </sheetViews>
  <sheetFormatPr baseColWidth="10" defaultColWidth="8.83203125" defaultRowHeight="15" x14ac:dyDescent="0.2"/>
  <cols>
    <col min="2" max="2" width="42" customWidth="1"/>
    <col min="3" max="3" width="18" customWidth="1"/>
    <col min="4" max="4" width="22.83203125" customWidth="1"/>
    <col min="5" max="8" width="12" customWidth="1"/>
    <col min="9" max="9" width="44" customWidth="1"/>
  </cols>
  <sheetData>
    <row r="2" spans="2:9" ht="24" customHeight="1" x14ac:dyDescent="0.2">
      <c r="B2" s="151" t="s">
        <v>61</v>
      </c>
      <c r="C2" s="151"/>
      <c r="D2" s="151"/>
      <c r="E2" s="151"/>
      <c r="F2" s="151"/>
      <c r="G2" s="151"/>
      <c r="H2" s="151"/>
      <c r="I2" s="151"/>
    </row>
    <row r="4" spans="2:9" ht="15.75" customHeight="1" x14ac:dyDescent="0.2">
      <c r="B4" s="17" t="s">
        <v>62</v>
      </c>
      <c r="C4" s="17" t="s">
        <v>63</v>
      </c>
      <c r="D4" s="17" t="s">
        <v>64</v>
      </c>
      <c r="E4" s="17" t="s">
        <v>65</v>
      </c>
      <c r="F4" s="17" t="s">
        <v>66</v>
      </c>
      <c r="G4" s="17" t="s">
        <v>67</v>
      </c>
      <c r="H4" s="17" t="s">
        <v>68</v>
      </c>
      <c r="I4" s="17" t="s">
        <v>69</v>
      </c>
    </row>
    <row r="5" spans="2:9" ht="15" customHeight="1" x14ac:dyDescent="0.2">
      <c r="B5" s="150" t="s">
        <v>70</v>
      </c>
      <c r="C5" s="150"/>
      <c r="D5" s="150"/>
      <c r="E5" s="150"/>
      <c r="F5" s="150"/>
      <c r="G5" s="150"/>
      <c r="H5" s="150"/>
      <c r="I5" s="150"/>
    </row>
    <row r="6" spans="2:9" ht="15.75" customHeight="1" x14ac:dyDescent="0.2">
      <c r="B6" s="10" t="s">
        <v>71</v>
      </c>
      <c r="C6" s="18" t="s">
        <v>72</v>
      </c>
      <c r="D6" s="19">
        <v>193</v>
      </c>
      <c r="E6" s="1"/>
      <c r="F6" s="1"/>
      <c r="G6" s="1"/>
      <c r="H6" s="1"/>
      <c r="I6" s="9" t="s">
        <v>1087</v>
      </c>
    </row>
    <row r="7" spans="2:9" ht="15.75" customHeight="1" x14ac:dyDescent="0.2">
      <c r="B7" s="10" t="s">
        <v>73</v>
      </c>
      <c r="C7" s="18" t="s">
        <v>72</v>
      </c>
      <c r="D7" s="19">
        <v>3</v>
      </c>
      <c r="E7" s="1"/>
      <c r="F7" s="1"/>
      <c r="G7" s="1"/>
      <c r="H7" s="1"/>
      <c r="I7" s="9" t="s">
        <v>1131</v>
      </c>
    </row>
    <row r="8" spans="2:9" ht="15.75" customHeight="1" x14ac:dyDescent="0.2">
      <c r="B8" s="10" t="s">
        <v>74</v>
      </c>
      <c r="C8" s="18" t="s">
        <v>72</v>
      </c>
      <c r="D8" s="19">
        <v>50</v>
      </c>
      <c r="E8" s="1"/>
      <c r="F8" s="1"/>
      <c r="G8" s="1"/>
      <c r="H8" s="1"/>
      <c r="I8" s="9" t="s">
        <v>75</v>
      </c>
    </row>
    <row r="9" spans="2:9" ht="15.75" customHeight="1" x14ac:dyDescent="0.2">
      <c r="B9" s="10" t="s">
        <v>76</v>
      </c>
      <c r="C9" s="18" t="s">
        <v>72</v>
      </c>
      <c r="D9" s="19">
        <v>25</v>
      </c>
      <c r="E9" s="1"/>
      <c r="F9" s="1"/>
      <c r="G9" s="1"/>
      <c r="H9" s="1"/>
      <c r="I9" s="9" t="s">
        <v>77</v>
      </c>
    </row>
    <row r="10" spans="2:9" ht="15.75" customHeight="1" x14ac:dyDescent="0.2">
      <c r="B10" s="10" t="s">
        <v>78</v>
      </c>
      <c r="C10" s="18" t="s">
        <v>79</v>
      </c>
      <c r="D10" s="20">
        <f>D6*D7+D8+D9</f>
        <v>654</v>
      </c>
      <c r="E10" s="1"/>
      <c r="F10" s="1"/>
      <c r="G10" s="1"/>
      <c r="H10" s="1"/>
      <c r="I10" s="9" t="s">
        <v>80</v>
      </c>
    </row>
    <row r="11" spans="2:9" ht="15.75" customHeight="1" x14ac:dyDescent="0.2">
      <c r="B11" s="10" t="s">
        <v>81</v>
      </c>
      <c r="C11" s="18" t="s">
        <v>82</v>
      </c>
      <c r="D11" s="19">
        <v>312</v>
      </c>
      <c r="E11" s="1"/>
      <c r="F11" s="1"/>
      <c r="G11" s="1"/>
      <c r="H11" s="1"/>
      <c r="I11" s="9" t="s">
        <v>83</v>
      </c>
    </row>
    <row r="12" spans="2:9" ht="15.75" customHeight="1" x14ac:dyDescent="0.2">
      <c r="B12" s="10" t="s">
        <v>84</v>
      </c>
      <c r="C12" s="18" t="s">
        <v>82</v>
      </c>
      <c r="D12" s="19">
        <v>21</v>
      </c>
      <c r="E12" s="1"/>
      <c r="F12" s="1"/>
      <c r="G12" s="1"/>
      <c r="H12" s="1"/>
      <c r="I12" s="9" t="s">
        <v>85</v>
      </c>
    </row>
    <row r="13" spans="2:9" ht="15.75" customHeight="1" x14ac:dyDescent="0.2">
      <c r="B13" s="10" t="s">
        <v>86</v>
      </c>
      <c r="C13" s="18" t="s">
        <v>87</v>
      </c>
      <c r="D13" s="19">
        <v>10</v>
      </c>
      <c r="E13" s="1"/>
      <c r="F13" s="1"/>
      <c r="G13" s="1"/>
      <c r="H13" s="1"/>
      <c r="I13" s="9" t="s">
        <v>88</v>
      </c>
    </row>
    <row r="14" spans="2:9" ht="15.75" customHeight="1" x14ac:dyDescent="0.2">
      <c r="B14" s="10" t="s">
        <v>89</v>
      </c>
      <c r="C14" s="18" t="s">
        <v>90</v>
      </c>
      <c r="D14" s="21">
        <v>5</v>
      </c>
      <c r="E14" s="1"/>
      <c r="F14" s="1"/>
      <c r="G14" s="1"/>
      <c r="H14" s="1"/>
      <c r="I14" s="9" t="s">
        <v>91</v>
      </c>
    </row>
    <row r="15" spans="2:9" ht="15.75" customHeight="1" x14ac:dyDescent="0.2">
      <c r="B15" s="10" t="s">
        <v>92</v>
      </c>
      <c r="C15" s="18" t="s">
        <v>93</v>
      </c>
      <c r="D15" s="22">
        <v>0.8</v>
      </c>
      <c r="E15" s="1"/>
      <c r="F15" s="1"/>
      <c r="G15" s="1"/>
      <c r="H15" s="1"/>
      <c r="I15" s="9" t="s">
        <v>94</v>
      </c>
    </row>
    <row r="16" spans="2:9" ht="15" customHeight="1" x14ac:dyDescent="0.2">
      <c r="B16" s="1"/>
      <c r="C16" s="1"/>
      <c r="D16" s="1"/>
      <c r="E16" s="1"/>
      <c r="F16" s="1"/>
      <c r="G16" s="1"/>
      <c r="H16" s="1"/>
      <c r="I16" s="1"/>
    </row>
    <row r="17" spans="2:9" ht="15" customHeight="1" x14ac:dyDescent="0.2">
      <c r="B17" s="157" t="s">
        <v>95</v>
      </c>
      <c r="C17" s="157"/>
      <c r="D17" s="157"/>
      <c r="E17" s="157"/>
      <c r="F17" s="157"/>
      <c r="G17" s="157"/>
      <c r="H17" s="157"/>
      <c r="I17" s="157"/>
    </row>
    <row r="18" spans="2:9" ht="15.75" customHeight="1" x14ac:dyDescent="0.2">
      <c r="B18" s="10" t="s">
        <v>96</v>
      </c>
      <c r="C18" s="18" t="s">
        <v>97</v>
      </c>
      <c r="D18" s="23">
        <v>0.35</v>
      </c>
      <c r="E18" s="23">
        <v>0.6</v>
      </c>
      <c r="F18" s="23">
        <v>0.75</v>
      </c>
      <c r="G18" s="23">
        <v>0.9</v>
      </c>
      <c r="H18" s="23">
        <v>0.9</v>
      </c>
      <c r="I18" s="9" t="s">
        <v>98</v>
      </c>
    </row>
    <row r="19" spans="2:9" ht="15.75" customHeight="1" x14ac:dyDescent="0.2">
      <c r="B19" s="10" t="s">
        <v>99</v>
      </c>
      <c r="C19" s="18" t="s">
        <v>72</v>
      </c>
      <c r="D19" s="24">
        <v>4</v>
      </c>
      <c r="E19" s="1"/>
      <c r="F19" s="1"/>
      <c r="G19" s="1"/>
      <c r="H19" s="1"/>
      <c r="I19" s="9" t="s">
        <v>100</v>
      </c>
    </row>
    <row r="20" spans="2:9" ht="15.75" customHeight="1" x14ac:dyDescent="0.2">
      <c r="B20" s="10" t="s">
        <v>101</v>
      </c>
      <c r="C20" s="18" t="s">
        <v>102</v>
      </c>
      <c r="D20" s="24">
        <v>2400</v>
      </c>
      <c r="E20" s="1"/>
      <c r="F20" s="1"/>
      <c r="G20" s="1"/>
      <c r="H20" s="1"/>
      <c r="I20" s="9" t="s">
        <v>103</v>
      </c>
    </row>
    <row r="21" spans="2:9" ht="15.75" customHeight="1" x14ac:dyDescent="0.2">
      <c r="B21" s="10" t="s">
        <v>104</v>
      </c>
      <c r="C21" s="18" t="s">
        <v>102</v>
      </c>
      <c r="D21" s="24">
        <v>500</v>
      </c>
      <c r="E21" s="1"/>
      <c r="F21" s="1"/>
      <c r="G21" s="1"/>
      <c r="H21" s="1"/>
      <c r="I21" s="9" t="s">
        <v>105</v>
      </c>
    </row>
    <row r="22" spans="2:9" ht="15.75" customHeight="1" x14ac:dyDescent="0.2">
      <c r="B22" s="10" t="s">
        <v>106</v>
      </c>
      <c r="C22" s="18" t="s">
        <v>107</v>
      </c>
      <c r="D22" s="23">
        <v>0.15</v>
      </c>
      <c r="E22" s="1"/>
      <c r="F22" s="1"/>
      <c r="G22" s="1"/>
      <c r="H22" s="1"/>
      <c r="I22" s="9" t="s">
        <v>108</v>
      </c>
    </row>
    <row r="23" spans="2:9" ht="15.75" customHeight="1" x14ac:dyDescent="0.2">
      <c r="B23" s="10" t="s">
        <v>109</v>
      </c>
      <c r="C23" s="18" t="s">
        <v>110</v>
      </c>
      <c r="D23" s="24">
        <v>1200</v>
      </c>
      <c r="E23" s="1"/>
      <c r="F23" s="1"/>
      <c r="G23" s="1"/>
      <c r="H23" s="1"/>
      <c r="I23" s="9" t="s">
        <v>111</v>
      </c>
    </row>
    <row r="24" spans="2:9" ht="15.75" customHeight="1" x14ac:dyDescent="0.2">
      <c r="B24" s="10" t="s">
        <v>112</v>
      </c>
      <c r="C24" s="18" t="s">
        <v>107</v>
      </c>
      <c r="D24" s="23">
        <v>0.6</v>
      </c>
      <c r="E24" s="1"/>
      <c r="F24" s="1"/>
      <c r="G24" s="1"/>
      <c r="H24" s="1"/>
      <c r="I24" s="9" t="s">
        <v>113</v>
      </c>
    </row>
    <row r="25" spans="2:9" ht="15.75" customHeight="1" x14ac:dyDescent="0.2">
      <c r="B25" s="10" t="s">
        <v>114</v>
      </c>
      <c r="C25" s="18" t="s">
        <v>107</v>
      </c>
      <c r="D25" s="23">
        <v>0.25</v>
      </c>
      <c r="E25" s="1"/>
      <c r="F25" s="1"/>
      <c r="G25" s="1"/>
      <c r="H25" s="1"/>
      <c r="I25" s="9" t="s">
        <v>115</v>
      </c>
    </row>
    <row r="26" spans="2:9" ht="15.75" customHeight="1" x14ac:dyDescent="0.2">
      <c r="B26" s="10" t="s">
        <v>116</v>
      </c>
      <c r="C26" s="18" t="s">
        <v>72</v>
      </c>
      <c r="D26" s="24">
        <v>4</v>
      </c>
      <c r="E26" s="1"/>
      <c r="F26" s="1"/>
      <c r="G26" s="1"/>
      <c r="H26" s="1"/>
      <c r="I26" s="9" t="s">
        <v>117</v>
      </c>
    </row>
    <row r="27" spans="2:9" ht="15.75" customHeight="1" x14ac:dyDescent="0.2">
      <c r="B27" s="10" t="s">
        <v>118</v>
      </c>
      <c r="C27" s="18" t="s">
        <v>119</v>
      </c>
      <c r="D27" s="19">
        <v>2.2000000000000002</v>
      </c>
      <c r="E27" s="1"/>
      <c r="F27" s="1"/>
      <c r="G27" s="1"/>
      <c r="H27" s="1"/>
      <c r="I27" s="9" t="s">
        <v>120</v>
      </c>
    </row>
    <row r="28" spans="2:9" ht="15" customHeight="1" x14ac:dyDescent="0.2">
      <c r="B28" s="1"/>
      <c r="C28" s="1"/>
      <c r="D28" s="1"/>
      <c r="E28" s="1"/>
      <c r="F28" s="1"/>
      <c r="G28" s="1"/>
      <c r="H28" s="1"/>
      <c r="I28" s="1"/>
    </row>
    <row r="29" spans="2:9" ht="15" customHeight="1" x14ac:dyDescent="0.2">
      <c r="B29" s="157" t="s">
        <v>121</v>
      </c>
      <c r="C29" s="157"/>
      <c r="D29" s="157"/>
      <c r="E29" s="157"/>
      <c r="F29" s="157"/>
      <c r="G29" s="157"/>
      <c r="H29" s="157"/>
      <c r="I29" s="157"/>
    </row>
    <row r="30" spans="2:9" ht="15.75" customHeight="1" x14ac:dyDescent="0.2">
      <c r="B30" s="10" t="s">
        <v>122</v>
      </c>
      <c r="C30" s="18" t="s">
        <v>72</v>
      </c>
      <c r="D30" s="24">
        <v>7</v>
      </c>
      <c r="E30" s="1"/>
      <c r="F30" s="1"/>
      <c r="G30" s="1"/>
      <c r="H30" s="1"/>
      <c r="I30" s="9" t="s">
        <v>123</v>
      </c>
    </row>
    <row r="31" spans="2:9" ht="15.75" customHeight="1" x14ac:dyDescent="0.2">
      <c r="B31" s="10" t="s">
        <v>124</v>
      </c>
      <c r="C31" s="18" t="s">
        <v>72</v>
      </c>
      <c r="D31" s="24">
        <v>6</v>
      </c>
      <c r="E31" s="1"/>
      <c r="F31" s="1"/>
      <c r="G31" s="1"/>
      <c r="H31" s="1"/>
      <c r="I31" s="9" t="s">
        <v>125</v>
      </c>
    </row>
    <row r="32" spans="2:9" ht="15.75" customHeight="1" x14ac:dyDescent="0.2">
      <c r="B32" s="10" t="s">
        <v>126</v>
      </c>
      <c r="C32" s="18" t="s">
        <v>72</v>
      </c>
      <c r="D32" s="24">
        <v>4</v>
      </c>
      <c r="E32" s="1"/>
      <c r="F32" s="1"/>
      <c r="G32" s="1"/>
      <c r="H32" s="1"/>
      <c r="I32" s="9" t="s">
        <v>127</v>
      </c>
    </row>
    <row r="33" spans="2:9" ht="15.75" customHeight="1" x14ac:dyDescent="0.2">
      <c r="B33" s="10" t="s">
        <v>128</v>
      </c>
      <c r="C33" s="18" t="s">
        <v>72</v>
      </c>
      <c r="D33" s="24">
        <v>2</v>
      </c>
      <c r="E33" s="1"/>
      <c r="F33" s="1"/>
      <c r="G33" s="1"/>
      <c r="H33" s="1"/>
      <c r="I33" s="9" t="s">
        <v>129</v>
      </c>
    </row>
    <row r="34" spans="2:9" ht="15.75" customHeight="1" x14ac:dyDescent="0.2">
      <c r="B34" s="10" t="s">
        <v>130</v>
      </c>
      <c r="C34" s="18" t="s">
        <v>119</v>
      </c>
      <c r="D34" s="22">
        <v>1.1499999999999999</v>
      </c>
      <c r="E34" s="1"/>
      <c r="F34" s="1"/>
      <c r="G34" s="1"/>
      <c r="H34" s="1"/>
      <c r="I34" s="9" t="s">
        <v>131</v>
      </c>
    </row>
    <row r="35" spans="2:9" ht="15.75" customHeight="1" x14ac:dyDescent="0.2">
      <c r="B35" s="10" t="s">
        <v>132</v>
      </c>
      <c r="C35" s="18" t="s">
        <v>133</v>
      </c>
      <c r="D35" s="25">
        <v>2000</v>
      </c>
      <c r="E35" s="1"/>
      <c r="F35" s="1"/>
      <c r="G35" s="1"/>
      <c r="H35" s="1"/>
      <c r="I35" s="9" t="s">
        <v>134</v>
      </c>
    </row>
    <row r="36" spans="2:9" ht="15.75" customHeight="1" x14ac:dyDescent="0.2">
      <c r="B36" s="10" t="s">
        <v>135</v>
      </c>
      <c r="C36" s="18" t="s">
        <v>133</v>
      </c>
      <c r="D36" s="25">
        <v>0</v>
      </c>
      <c r="E36" s="1"/>
      <c r="F36" s="1"/>
      <c r="G36" s="1"/>
      <c r="H36" s="1"/>
      <c r="I36" s="9" t="s">
        <v>136</v>
      </c>
    </row>
    <row r="37" spans="2:9" ht="15.75" customHeight="1" x14ac:dyDescent="0.2">
      <c r="B37" s="10" t="s">
        <v>137</v>
      </c>
      <c r="C37" s="18" t="s">
        <v>133</v>
      </c>
      <c r="D37" s="25">
        <f>170*41/5</f>
        <v>1394</v>
      </c>
      <c r="E37" s="1"/>
      <c r="F37" s="1"/>
      <c r="G37" s="1"/>
      <c r="H37" s="1"/>
      <c r="I37" s="9" t="s">
        <v>138</v>
      </c>
    </row>
    <row r="38" spans="2:9" ht="15.75" customHeight="1" x14ac:dyDescent="0.2">
      <c r="B38" s="10" t="s">
        <v>139</v>
      </c>
      <c r="C38" s="18" t="s">
        <v>140</v>
      </c>
      <c r="D38" s="25">
        <v>50</v>
      </c>
      <c r="E38" s="1"/>
      <c r="F38" s="1"/>
      <c r="G38" s="1"/>
      <c r="H38" s="1"/>
      <c r="I38" s="9" t="s">
        <v>141</v>
      </c>
    </row>
    <row r="39" spans="2:9" ht="15.75" customHeight="1" x14ac:dyDescent="0.2">
      <c r="B39" s="10" t="s">
        <v>142</v>
      </c>
      <c r="C39" s="18" t="s">
        <v>140</v>
      </c>
      <c r="D39" s="25">
        <v>55</v>
      </c>
      <c r="E39" s="1"/>
      <c r="F39" s="1"/>
      <c r="G39" s="1"/>
      <c r="H39" s="1"/>
      <c r="I39" s="9" t="s">
        <v>143</v>
      </c>
    </row>
    <row r="40" spans="2:9" ht="15.75" customHeight="1" x14ac:dyDescent="0.2">
      <c r="B40" s="10" t="s">
        <v>144</v>
      </c>
      <c r="C40" s="18" t="s">
        <v>140</v>
      </c>
      <c r="D40" s="24">
        <v>60</v>
      </c>
      <c r="E40" s="1"/>
      <c r="F40" s="1"/>
      <c r="G40" s="1"/>
      <c r="H40" s="1"/>
      <c r="I40" s="9" t="s">
        <v>145</v>
      </c>
    </row>
    <row r="41" spans="2:9" ht="15.75" customHeight="1" x14ac:dyDescent="0.2">
      <c r="B41" s="10" t="s">
        <v>146</v>
      </c>
      <c r="C41" s="18" t="s">
        <v>87</v>
      </c>
      <c r="D41" s="24">
        <v>1800</v>
      </c>
      <c r="E41" s="1"/>
      <c r="F41" s="1"/>
      <c r="G41" s="1"/>
      <c r="H41" s="1"/>
      <c r="I41" s="9" t="s">
        <v>147</v>
      </c>
    </row>
    <row r="42" spans="2:9" ht="15.75" customHeight="1" x14ac:dyDescent="0.2">
      <c r="B42" s="10" t="s">
        <v>148</v>
      </c>
      <c r="C42" s="18" t="s">
        <v>149</v>
      </c>
      <c r="D42" s="25">
        <v>14000</v>
      </c>
      <c r="E42" s="1"/>
      <c r="F42" s="1"/>
      <c r="G42" s="1"/>
      <c r="H42" s="1"/>
      <c r="I42" s="9" t="s">
        <v>150</v>
      </c>
    </row>
    <row r="43" spans="2:9" ht="15.75" customHeight="1" x14ac:dyDescent="0.2">
      <c r="B43" s="10" t="s">
        <v>151</v>
      </c>
      <c r="C43" s="18" t="s">
        <v>149</v>
      </c>
      <c r="D43" s="25">
        <v>18000</v>
      </c>
      <c r="E43" s="1"/>
      <c r="F43" s="1"/>
      <c r="G43" s="1"/>
      <c r="H43" s="1"/>
      <c r="I43" s="9" t="s">
        <v>152</v>
      </c>
    </row>
    <row r="44" spans="2:9" ht="15.75" customHeight="1" x14ac:dyDescent="0.2">
      <c r="B44" s="10" t="s">
        <v>153</v>
      </c>
      <c r="C44" s="18" t="s">
        <v>149</v>
      </c>
      <c r="D44" s="25">
        <v>13000</v>
      </c>
      <c r="E44" s="1"/>
      <c r="F44" s="1"/>
      <c r="G44" s="1"/>
      <c r="H44" s="1"/>
      <c r="I44" s="9" t="s">
        <v>154</v>
      </c>
    </row>
    <row r="45" spans="2:9" ht="15.75" customHeight="1" x14ac:dyDescent="0.2">
      <c r="B45" s="10" t="s">
        <v>155</v>
      </c>
      <c r="C45" s="18" t="s">
        <v>156</v>
      </c>
      <c r="D45" s="23">
        <v>0.1</v>
      </c>
      <c r="E45" s="1"/>
      <c r="F45" s="1"/>
      <c r="G45" s="1"/>
      <c r="H45" s="1"/>
      <c r="I45" s="9" t="s">
        <v>157</v>
      </c>
    </row>
    <row r="46" spans="2:9" ht="30" customHeight="1" x14ac:dyDescent="0.2">
      <c r="B46" s="10" t="s">
        <v>158</v>
      </c>
      <c r="C46" s="18" t="s">
        <v>119</v>
      </c>
      <c r="D46" s="25">
        <v>1.2</v>
      </c>
      <c r="E46" s="1"/>
      <c r="F46" s="1"/>
      <c r="G46" s="1"/>
      <c r="H46" s="1"/>
      <c r="I46" s="9" t="s">
        <v>159</v>
      </c>
    </row>
    <row r="47" spans="2:9" ht="15" customHeight="1" x14ac:dyDescent="0.2">
      <c r="B47" s="157" t="s">
        <v>160</v>
      </c>
      <c r="C47" s="157"/>
      <c r="D47" s="157"/>
      <c r="E47" s="157"/>
      <c r="F47" s="157"/>
      <c r="G47" s="157"/>
      <c r="H47" s="157"/>
      <c r="I47" s="157"/>
    </row>
    <row r="48" spans="2:9" ht="15.75" customHeight="1" x14ac:dyDescent="0.2">
      <c r="B48" s="10" t="s">
        <v>161</v>
      </c>
      <c r="C48" s="18" t="s">
        <v>72</v>
      </c>
      <c r="D48" s="26">
        <v>203875</v>
      </c>
      <c r="E48" s="1"/>
      <c r="F48" s="1"/>
      <c r="G48" s="1"/>
      <c r="H48" s="1"/>
      <c r="I48" s="9" t="s">
        <v>162</v>
      </c>
    </row>
    <row r="49" spans="2:9" ht="15.75" customHeight="1" x14ac:dyDescent="0.2">
      <c r="B49" s="10" t="s">
        <v>163</v>
      </c>
      <c r="C49" s="18" t="s">
        <v>72</v>
      </c>
      <c r="D49" s="26">
        <v>66225</v>
      </c>
      <c r="E49" s="1"/>
      <c r="F49" s="1"/>
      <c r="G49" s="1"/>
      <c r="H49" s="1"/>
      <c r="I49" s="9" t="s">
        <v>162</v>
      </c>
    </row>
    <row r="50" spans="2:9" ht="15.75" customHeight="1" x14ac:dyDescent="0.2">
      <c r="B50" s="10" t="s">
        <v>164</v>
      </c>
      <c r="C50" s="18" t="s">
        <v>72</v>
      </c>
      <c r="D50" s="26">
        <v>50690</v>
      </c>
      <c r="E50" s="1"/>
      <c r="F50" s="1"/>
      <c r="G50" s="1"/>
      <c r="H50" s="1"/>
      <c r="I50" s="9" t="s">
        <v>162</v>
      </c>
    </row>
    <row r="51" spans="2:9" ht="15.75" customHeight="1" x14ac:dyDescent="0.2">
      <c r="B51" s="10" t="s">
        <v>165</v>
      </c>
      <c r="C51" s="18" t="s">
        <v>156</v>
      </c>
      <c r="D51" s="23">
        <v>0.2</v>
      </c>
      <c r="E51" s="1"/>
      <c r="F51" s="1"/>
      <c r="G51" s="1"/>
      <c r="H51" s="1"/>
      <c r="I51" s="9" t="s">
        <v>166</v>
      </c>
    </row>
    <row r="52" spans="2:9" ht="15.75" customHeight="1" x14ac:dyDescent="0.2">
      <c r="B52" s="10" t="s">
        <v>167</v>
      </c>
      <c r="C52" s="18" t="s">
        <v>168</v>
      </c>
      <c r="D52" s="22">
        <v>23</v>
      </c>
      <c r="E52" s="1"/>
      <c r="F52" s="1"/>
      <c r="G52" s="1"/>
      <c r="H52" s="1"/>
      <c r="I52" s="9" t="s">
        <v>162</v>
      </c>
    </row>
    <row r="53" spans="2:9" ht="15.75" customHeight="1" x14ac:dyDescent="0.2">
      <c r="B53" s="10" t="s">
        <v>169</v>
      </c>
      <c r="C53" s="18" t="s">
        <v>168</v>
      </c>
      <c r="D53" s="22">
        <v>2</v>
      </c>
      <c r="E53" s="1"/>
      <c r="F53" s="1"/>
      <c r="G53" s="1"/>
      <c r="H53" s="1"/>
      <c r="I53" s="9" t="s">
        <v>170</v>
      </c>
    </row>
    <row r="54" spans="2:9" ht="15.75" customHeight="1" x14ac:dyDescent="0.2">
      <c r="B54" s="10" t="s">
        <v>171</v>
      </c>
      <c r="C54" s="18" t="s">
        <v>72</v>
      </c>
      <c r="D54" s="24">
        <v>13400</v>
      </c>
      <c r="E54" s="1"/>
      <c r="F54" s="1"/>
      <c r="G54" s="1"/>
      <c r="H54" s="1"/>
      <c r="I54" s="9" t="s">
        <v>172</v>
      </c>
    </row>
    <row r="55" spans="2:9" ht="15.75" customHeight="1" x14ac:dyDescent="0.2">
      <c r="B55" s="10" t="s">
        <v>173</v>
      </c>
      <c r="C55" s="18" t="s">
        <v>72</v>
      </c>
      <c r="D55" s="24">
        <v>40620</v>
      </c>
      <c r="E55" s="1"/>
      <c r="F55" s="1"/>
      <c r="G55" s="1"/>
      <c r="H55" s="1"/>
      <c r="I55" s="9" t="s">
        <v>172</v>
      </c>
    </row>
    <row r="56" spans="2:9" ht="15.75" customHeight="1" x14ac:dyDescent="0.2">
      <c r="B56" s="10" t="s">
        <v>174</v>
      </c>
      <c r="C56" s="18" t="s">
        <v>168</v>
      </c>
      <c r="D56" s="22">
        <v>10</v>
      </c>
      <c r="E56" s="1"/>
      <c r="F56" s="1"/>
      <c r="G56" s="1"/>
      <c r="H56" s="1"/>
      <c r="I56" s="9" t="s">
        <v>175</v>
      </c>
    </row>
    <row r="57" spans="2:9" ht="15.75" customHeight="1" x14ac:dyDescent="0.2">
      <c r="B57" s="10" t="s">
        <v>176</v>
      </c>
      <c r="C57" s="18" t="s">
        <v>156</v>
      </c>
      <c r="D57" s="23">
        <v>0.33300000000000002</v>
      </c>
      <c r="E57" s="1"/>
      <c r="F57" s="1"/>
      <c r="G57" s="1"/>
      <c r="H57" s="1"/>
      <c r="I57" s="9" t="s">
        <v>177</v>
      </c>
    </row>
    <row r="58" spans="2:9" ht="15.75" customHeight="1" x14ac:dyDescent="0.2">
      <c r="B58" s="10" t="s">
        <v>178</v>
      </c>
      <c r="C58" s="18" t="s">
        <v>72</v>
      </c>
      <c r="D58" s="24">
        <v>162480</v>
      </c>
      <c r="E58" s="1"/>
      <c r="F58" s="1"/>
      <c r="G58" s="1"/>
      <c r="H58" s="1"/>
      <c r="I58" s="9" t="s">
        <v>172</v>
      </c>
    </row>
    <row r="59" spans="2:9" ht="15.75" customHeight="1" x14ac:dyDescent="0.2">
      <c r="B59" s="10" t="s">
        <v>179</v>
      </c>
      <c r="C59" s="18" t="s">
        <v>72</v>
      </c>
      <c r="D59" s="24">
        <v>100827</v>
      </c>
      <c r="E59" s="1"/>
      <c r="F59" s="1"/>
      <c r="G59" s="1"/>
      <c r="H59" s="1"/>
      <c r="I59" s="9" t="s">
        <v>162</v>
      </c>
    </row>
    <row r="60" spans="2:9" ht="15.75" customHeight="1" x14ac:dyDescent="0.2">
      <c r="B60" s="10" t="s">
        <v>180</v>
      </c>
      <c r="C60" s="18" t="s">
        <v>181</v>
      </c>
      <c r="D60" s="25">
        <v>2771783</v>
      </c>
      <c r="E60" s="1"/>
      <c r="F60" s="1"/>
      <c r="G60" s="1"/>
      <c r="H60" s="1"/>
      <c r="I60" s="9" t="s">
        <v>162</v>
      </c>
    </row>
    <row r="61" spans="2:9" ht="15.75" customHeight="1" x14ac:dyDescent="0.2">
      <c r="B61" s="10" t="s">
        <v>182</v>
      </c>
      <c r="C61" s="18" t="s">
        <v>156</v>
      </c>
      <c r="D61" s="23">
        <v>0.2</v>
      </c>
      <c r="E61" s="1"/>
      <c r="F61" s="1"/>
      <c r="G61" s="1"/>
      <c r="H61" s="1"/>
      <c r="I61" s="9" t="s">
        <v>183</v>
      </c>
    </row>
    <row r="62" spans="2:9" ht="15.75" customHeight="1" x14ac:dyDescent="0.2">
      <c r="B62" s="10" t="s">
        <v>184</v>
      </c>
      <c r="C62" s="18" t="s">
        <v>72</v>
      </c>
      <c r="D62" s="24">
        <v>20475</v>
      </c>
      <c r="E62" s="1"/>
      <c r="F62" s="1"/>
      <c r="G62" s="1"/>
      <c r="H62" s="1"/>
      <c r="I62" s="9" t="s">
        <v>172</v>
      </c>
    </row>
    <row r="63" spans="2:9" ht="15.75" customHeight="1" x14ac:dyDescent="0.2">
      <c r="B63" s="10" t="s">
        <v>185</v>
      </c>
      <c r="C63" s="18" t="s">
        <v>181</v>
      </c>
      <c r="D63" s="25">
        <v>697289</v>
      </c>
      <c r="E63" s="1"/>
      <c r="F63" s="1"/>
      <c r="G63" s="1"/>
      <c r="H63" s="1"/>
      <c r="I63" s="9" t="s">
        <v>172</v>
      </c>
    </row>
    <row r="64" spans="2:9" ht="15.75" customHeight="1" x14ac:dyDescent="0.2">
      <c r="B64" s="10" t="s">
        <v>186</v>
      </c>
      <c r="C64" s="18" t="s">
        <v>156</v>
      </c>
      <c r="D64" s="23">
        <v>0.75</v>
      </c>
      <c r="E64" s="1"/>
      <c r="F64" s="1"/>
      <c r="G64" s="1"/>
      <c r="H64" s="1"/>
      <c r="I64" s="9" t="s">
        <v>187</v>
      </c>
    </row>
    <row r="65" spans="2:9" ht="15" customHeight="1" x14ac:dyDescent="0.2">
      <c r="B65" s="1"/>
      <c r="C65" s="1"/>
      <c r="D65" s="1"/>
      <c r="E65" s="1"/>
      <c r="F65" s="1"/>
      <c r="G65" s="1"/>
      <c r="H65" s="1"/>
      <c r="I65" s="1"/>
    </row>
    <row r="66" spans="2:9" ht="15" customHeight="1" x14ac:dyDescent="0.2">
      <c r="B66" s="157" t="s">
        <v>188</v>
      </c>
      <c r="C66" s="157"/>
      <c r="D66" s="157"/>
      <c r="E66" s="157"/>
      <c r="F66" s="157"/>
      <c r="G66" s="157"/>
      <c r="H66" s="157"/>
      <c r="I66" s="157"/>
    </row>
    <row r="67" spans="2:9" ht="15.75" customHeight="1" x14ac:dyDescent="0.2">
      <c r="B67" s="10" t="s">
        <v>189</v>
      </c>
      <c r="C67" s="18" t="s">
        <v>181</v>
      </c>
      <c r="D67" s="25">
        <v>103</v>
      </c>
      <c r="E67" s="1"/>
      <c r="F67" s="1"/>
      <c r="G67" s="1"/>
      <c r="H67" s="1"/>
      <c r="I67" s="9" t="s">
        <v>162</v>
      </c>
    </row>
    <row r="68" spans="2:9" ht="15.75" customHeight="1" x14ac:dyDescent="0.2">
      <c r="B68" s="10" t="s">
        <v>190</v>
      </c>
      <c r="C68" s="18" t="s">
        <v>181</v>
      </c>
      <c r="D68" s="25">
        <v>20790000</v>
      </c>
      <c r="E68" s="1"/>
      <c r="F68" s="1"/>
      <c r="G68" s="1"/>
      <c r="H68" s="1"/>
      <c r="I68" s="9" t="s">
        <v>162</v>
      </c>
    </row>
    <row r="69" spans="2:9" ht="15.75" customHeight="1" x14ac:dyDescent="0.2">
      <c r="B69" s="10" t="s">
        <v>191</v>
      </c>
      <c r="C69" s="18" t="s">
        <v>181</v>
      </c>
      <c r="D69" s="25">
        <v>104.9</v>
      </c>
      <c r="E69" s="1"/>
      <c r="F69" s="1"/>
      <c r="G69" s="1"/>
      <c r="H69" s="1"/>
      <c r="I69" s="9" t="s">
        <v>162</v>
      </c>
    </row>
    <row r="70" spans="2:9" ht="15.75" customHeight="1" x14ac:dyDescent="0.2">
      <c r="B70" s="10" t="s">
        <v>192</v>
      </c>
      <c r="C70" s="18" t="s">
        <v>181</v>
      </c>
      <c r="D70" s="25">
        <v>23707400</v>
      </c>
      <c r="E70" s="1"/>
      <c r="F70" s="1"/>
      <c r="G70" s="1"/>
      <c r="H70" s="1"/>
      <c r="I70" s="9" t="s">
        <v>162</v>
      </c>
    </row>
    <row r="71" spans="2:9" ht="15.75" customHeight="1" x14ac:dyDescent="0.2">
      <c r="B71" s="10" t="s">
        <v>193</v>
      </c>
      <c r="C71" s="18" t="s">
        <v>181</v>
      </c>
      <c r="D71" s="25">
        <v>25720000</v>
      </c>
      <c r="E71" s="1"/>
      <c r="F71" s="1"/>
      <c r="G71" s="1"/>
      <c r="H71" s="1"/>
      <c r="I71" s="9" t="s">
        <v>162</v>
      </c>
    </row>
    <row r="72" spans="2:9" ht="15.75" customHeight="1" x14ac:dyDescent="0.2">
      <c r="B72" s="10" t="s">
        <v>194</v>
      </c>
      <c r="C72" s="18" t="s">
        <v>181</v>
      </c>
      <c r="D72" s="25">
        <v>28250000</v>
      </c>
      <c r="E72" s="1"/>
      <c r="F72" s="1"/>
      <c r="G72" s="1"/>
      <c r="H72" s="1"/>
      <c r="I72" s="9" t="s">
        <v>162</v>
      </c>
    </row>
    <row r="73" spans="2:9" ht="15.75" customHeight="1" x14ac:dyDescent="0.2">
      <c r="B73" s="10" t="s">
        <v>195</v>
      </c>
      <c r="C73" s="18" t="s">
        <v>156</v>
      </c>
      <c r="D73" s="23">
        <v>7.7999999999999996E-3</v>
      </c>
      <c r="E73" s="1"/>
      <c r="F73" s="1"/>
      <c r="G73" s="1"/>
      <c r="H73" s="1"/>
      <c r="I73" s="9" t="s">
        <v>162</v>
      </c>
    </row>
    <row r="74" spans="2:9" ht="15.75" customHeight="1" x14ac:dyDescent="0.2">
      <c r="B74" s="10" t="s">
        <v>196</v>
      </c>
      <c r="C74" s="18" t="s">
        <v>156</v>
      </c>
      <c r="D74" s="23">
        <v>8.0000000000000002E-3</v>
      </c>
      <c r="E74" s="1"/>
      <c r="F74" s="1"/>
      <c r="G74" s="1"/>
      <c r="H74" s="1"/>
      <c r="I74" s="9" t="s">
        <v>162</v>
      </c>
    </row>
    <row r="75" spans="2:9" ht="15.75" customHeight="1" x14ac:dyDescent="0.2">
      <c r="B75" s="10" t="s">
        <v>197</v>
      </c>
      <c r="C75" s="18" t="s">
        <v>156</v>
      </c>
      <c r="D75" s="23">
        <v>8.5000000000000006E-3</v>
      </c>
      <c r="E75" s="1"/>
      <c r="F75" s="1"/>
      <c r="G75" s="1"/>
      <c r="H75" s="1"/>
      <c r="I75" s="9" t="s">
        <v>162</v>
      </c>
    </row>
    <row r="76" spans="2:9" ht="15.75" customHeight="1" x14ac:dyDescent="0.2">
      <c r="B76" s="10" t="s">
        <v>198</v>
      </c>
      <c r="C76" s="18" t="s">
        <v>181</v>
      </c>
      <c r="D76" s="25">
        <v>1149122000</v>
      </c>
      <c r="E76" s="1"/>
      <c r="F76" s="1"/>
      <c r="G76" s="1"/>
      <c r="H76" s="1"/>
      <c r="I76" s="9" t="s">
        <v>162</v>
      </c>
    </row>
    <row r="77" spans="2:9" ht="15.75" customHeight="1" x14ac:dyDescent="0.2">
      <c r="B77" s="10" t="s">
        <v>199</v>
      </c>
      <c r="C77" s="18" t="s">
        <v>156</v>
      </c>
      <c r="D77" s="23">
        <v>0.25619999999999998</v>
      </c>
      <c r="E77" s="1"/>
      <c r="F77" s="1"/>
      <c r="G77" s="1"/>
      <c r="H77" s="1"/>
      <c r="I77" s="9" t="s">
        <v>162</v>
      </c>
    </row>
    <row r="78" spans="2:9" ht="15.75" customHeight="1" x14ac:dyDescent="0.2">
      <c r="B78" s="10" t="s">
        <v>200</v>
      </c>
      <c r="C78" s="18" t="s">
        <v>156</v>
      </c>
      <c r="D78" s="23">
        <v>0</v>
      </c>
      <c r="E78" s="1"/>
      <c r="F78" s="1"/>
      <c r="G78" s="1"/>
      <c r="H78" s="1"/>
      <c r="I78" s="9" t="s">
        <v>201</v>
      </c>
    </row>
    <row r="79" spans="2:9" ht="15.75" customHeight="1" x14ac:dyDescent="0.2">
      <c r="B79" s="10" t="s">
        <v>202</v>
      </c>
      <c r="C79" s="18" t="s">
        <v>156</v>
      </c>
      <c r="D79" s="23">
        <v>0</v>
      </c>
      <c r="E79" s="1"/>
      <c r="F79" s="1"/>
      <c r="G79" s="1"/>
      <c r="H79" s="1"/>
      <c r="I79" s="9" t="s">
        <v>203</v>
      </c>
    </row>
    <row r="80" spans="2:9" ht="15.75" customHeight="1" x14ac:dyDescent="0.2">
      <c r="B80" s="10" t="s">
        <v>204</v>
      </c>
      <c r="C80" s="18" t="s">
        <v>156</v>
      </c>
      <c r="D80" s="23">
        <v>0</v>
      </c>
      <c r="E80" s="1"/>
      <c r="F80" s="1"/>
      <c r="G80" s="1"/>
      <c r="H80" s="1"/>
      <c r="I80" s="9" t="s">
        <v>203</v>
      </c>
    </row>
    <row r="81" spans="2:9" ht="15.75" customHeight="1" x14ac:dyDescent="0.2">
      <c r="B81" s="10" t="s">
        <v>205</v>
      </c>
      <c r="C81" s="18" t="s">
        <v>206</v>
      </c>
      <c r="D81" s="21">
        <v>0</v>
      </c>
      <c r="E81" s="1"/>
      <c r="F81" s="1"/>
      <c r="G81" s="1"/>
      <c r="H81" s="1"/>
      <c r="I81" s="9" t="s">
        <v>207</v>
      </c>
    </row>
    <row r="82" spans="2:9" ht="15.75" customHeight="1" x14ac:dyDescent="0.2">
      <c r="B82" s="10" t="s">
        <v>208</v>
      </c>
      <c r="C82" s="18" t="s">
        <v>156</v>
      </c>
      <c r="D82" s="23">
        <v>0.5</v>
      </c>
      <c r="E82" s="1"/>
      <c r="F82" s="1"/>
      <c r="G82" s="1"/>
      <c r="H82" s="1"/>
      <c r="I82" s="9" t="s">
        <v>209</v>
      </c>
    </row>
    <row r="83" spans="2:9" ht="15.75" customHeight="1" x14ac:dyDescent="0.2">
      <c r="B83" s="10" t="s">
        <v>210</v>
      </c>
      <c r="C83" s="18" t="s">
        <v>181</v>
      </c>
      <c r="D83" s="25">
        <v>2106028</v>
      </c>
      <c r="E83" s="1"/>
      <c r="F83" s="1"/>
      <c r="G83" s="1"/>
      <c r="H83" s="1"/>
      <c r="I83" s="9" t="s">
        <v>211</v>
      </c>
    </row>
    <row r="84" spans="2:9" ht="15.75" customHeight="1" x14ac:dyDescent="0.2">
      <c r="B84" s="10" t="s">
        <v>212</v>
      </c>
      <c r="C84" s="18" t="s">
        <v>156</v>
      </c>
      <c r="D84" s="23">
        <v>0.25</v>
      </c>
      <c r="E84" s="1"/>
      <c r="F84" s="1"/>
      <c r="G84" s="1"/>
      <c r="H84" s="1"/>
      <c r="I84" s="9" t="s">
        <v>211</v>
      </c>
    </row>
    <row r="85" spans="2:9" ht="15.75" customHeight="1" x14ac:dyDescent="0.2">
      <c r="B85" s="10" t="s">
        <v>213</v>
      </c>
      <c r="C85" s="18" t="s">
        <v>156</v>
      </c>
      <c r="D85" s="23">
        <v>0</v>
      </c>
      <c r="E85" s="1"/>
      <c r="F85" s="1"/>
      <c r="G85" s="1"/>
      <c r="H85" s="1"/>
      <c r="I85" s="9" t="s">
        <v>203</v>
      </c>
    </row>
    <row r="87" spans="2:9" x14ac:dyDescent="0.2">
      <c r="B87" s="157" t="s">
        <v>1120</v>
      </c>
      <c r="C87" s="157"/>
      <c r="D87" s="157"/>
      <c r="E87" s="157"/>
      <c r="F87" s="157"/>
      <c r="G87" s="157"/>
      <c r="H87" s="157"/>
      <c r="I87" s="157"/>
    </row>
    <row r="88" spans="2:9" ht="16" x14ac:dyDescent="0.2">
      <c r="B88" s="10" t="s">
        <v>1121</v>
      </c>
      <c r="C88" s="18" t="s">
        <v>72</v>
      </c>
      <c r="D88" s="146">
        <v>25385</v>
      </c>
      <c r="E88" s="1"/>
      <c r="F88" s="1"/>
      <c r="G88" s="1"/>
      <c r="H88" s="1"/>
      <c r="I88" s="9" t="s">
        <v>162</v>
      </c>
    </row>
    <row r="89" spans="2:9" ht="16" x14ac:dyDescent="0.2">
      <c r="B89" s="10" t="s">
        <v>1122</v>
      </c>
      <c r="C89" s="18" t="s">
        <v>72</v>
      </c>
      <c r="D89" s="146">
        <v>75379</v>
      </c>
      <c r="E89" s="1"/>
      <c r="F89" s="1"/>
      <c r="G89" s="1"/>
      <c r="H89" s="1"/>
      <c r="I89" s="9" t="s">
        <v>162</v>
      </c>
    </row>
    <row r="90" spans="2:9" ht="16" x14ac:dyDescent="0.2">
      <c r="B90" s="10" t="s">
        <v>1123</v>
      </c>
      <c r="C90" s="18" t="s">
        <v>72</v>
      </c>
      <c r="D90" s="146">
        <v>23150</v>
      </c>
      <c r="E90" s="1"/>
      <c r="F90" s="1"/>
      <c r="G90" s="1"/>
      <c r="H90" s="1"/>
      <c r="I90" s="9" t="s">
        <v>162</v>
      </c>
    </row>
    <row r="91" spans="2:9" ht="16" x14ac:dyDescent="0.2">
      <c r="B91" s="10" t="s">
        <v>1124</v>
      </c>
      <c r="C91" s="18" t="s">
        <v>72</v>
      </c>
      <c r="D91" s="146">
        <v>2000</v>
      </c>
      <c r="E91" s="1"/>
      <c r="F91" s="1"/>
      <c r="G91" s="1"/>
      <c r="H91" s="1"/>
      <c r="I91" s="9" t="s">
        <v>162</v>
      </c>
    </row>
    <row r="92" spans="2:9" ht="16" x14ac:dyDescent="0.2">
      <c r="B92" s="10" t="s">
        <v>1127</v>
      </c>
      <c r="C92" s="18" t="s">
        <v>72</v>
      </c>
      <c r="D92" s="146">
        <v>10</v>
      </c>
      <c r="E92" s="1"/>
      <c r="F92" s="1"/>
      <c r="G92" s="1"/>
      <c r="H92" s="1"/>
      <c r="I92" s="9" t="s">
        <v>1140</v>
      </c>
    </row>
    <row r="93" spans="2:9" ht="16" x14ac:dyDescent="0.2">
      <c r="B93" s="10" t="s">
        <v>1128</v>
      </c>
      <c r="C93" s="18" t="s">
        <v>1126</v>
      </c>
      <c r="D93" s="146">
        <v>1500</v>
      </c>
      <c r="E93" s="1"/>
      <c r="F93" s="1"/>
      <c r="G93" s="1"/>
      <c r="H93" s="1"/>
      <c r="I93" s="9" t="s">
        <v>1132</v>
      </c>
    </row>
    <row r="94" spans="2:9" ht="16" x14ac:dyDescent="0.2">
      <c r="B94" s="10" t="s">
        <v>1130</v>
      </c>
      <c r="C94" s="18" t="s">
        <v>1129</v>
      </c>
      <c r="D94" s="145">
        <v>0.3</v>
      </c>
      <c r="E94" s="1"/>
      <c r="F94" s="1"/>
      <c r="G94" s="1"/>
      <c r="H94" s="1"/>
      <c r="I94" s="9" t="s">
        <v>1132</v>
      </c>
    </row>
    <row r="95" spans="2:9" ht="16" x14ac:dyDescent="0.2">
      <c r="B95" s="10" t="s">
        <v>1125</v>
      </c>
      <c r="C95" s="18" t="s">
        <v>1126</v>
      </c>
      <c r="D95" s="146">
        <v>400000000</v>
      </c>
      <c r="E95" s="1"/>
      <c r="F95" s="1"/>
      <c r="G95" s="1"/>
      <c r="H95" s="1"/>
      <c r="I95" s="9" t="s">
        <v>162</v>
      </c>
    </row>
    <row r="98" spans="4:4" x14ac:dyDescent="0.2">
      <c r="D98" s="147"/>
    </row>
  </sheetData>
  <mergeCells count="7">
    <mergeCell ref="B87:I87"/>
    <mergeCell ref="B66:I66"/>
    <mergeCell ref="B2:I2"/>
    <mergeCell ref="B5:I5"/>
    <mergeCell ref="B17:I17"/>
    <mergeCell ref="B29:I29"/>
    <mergeCell ref="B47:I47"/>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51"/>
  <sheetViews>
    <sheetView showGridLines="0" zoomScaleNormal="100" workbookViewId="0">
      <selection activeCell="B5" sqref="B5:H5"/>
    </sheetView>
  </sheetViews>
  <sheetFormatPr baseColWidth="10" defaultColWidth="8.83203125" defaultRowHeight="15" x14ac:dyDescent="0.2"/>
  <cols>
    <col min="2" max="2" width="46" customWidth="1"/>
    <col min="3" max="6" width="18" customWidth="1"/>
    <col min="7" max="7" width="21" customWidth="1"/>
    <col min="8" max="8" width="41.6640625" customWidth="1"/>
  </cols>
  <sheetData>
    <row r="2" spans="2:15" ht="24" customHeight="1" x14ac:dyDescent="0.2">
      <c r="B2" s="151" t="s">
        <v>214</v>
      </c>
      <c r="C2" s="151"/>
      <c r="D2" s="151"/>
      <c r="E2" s="151"/>
      <c r="F2" s="151"/>
      <c r="G2" s="151"/>
      <c r="H2" s="151"/>
    </row>
    <row r="3" spans="2:15" ht="15" customHeight="1" x14ac:dyDescent="0.2">
      <c r="B3" s="27" t="s">
        <v>839</v>
      </c>
    </row>
    <row r="4" spans="2:15" ht="31.5" customHeight="1" thickBot="1" x14ac:dyDescent="0.25">
      <c r="B4" s="17" t="s">
        <v>215</v>
      </c>
      <c r="C4" s="17" t="s">
        <v>10</v>
      </c>
      <c r="D4" s="17" t="s">
        <v>11</v>
      </c>
      <c r="E4" s="17" t="s">
        <v>12</v>
      </c>
      <c r="F4" s="17" t="s">
        <v>13</v>
      </c>
      <c r="G4" s="17" t="s">
        <v>1143</v>
      </c>
      <c r="H4" t="s">
        <v>24</v>
      </c>
    </row>
    <row r="5" spans="2:15" ht="15" customHeight="1" thickBot="1" x14ac:dyDescent="0.25">
      <c r="B5" s="150" t="s">
        <v>216</v>
      </c>
      <c r="C5" s="150"/>
      <c r="D5" s="150"/>
      <c r="E5" s="150"/>
      <c r="F5" s="150"/>
      <c r="G5" s="150"/>
      <c r="H5" s="150"/>
    </row>
    <row r="6" spans="2:15" ht="102" customHeight="1" x14ac:dyDescent="0.2">
      <c r="B6" t="s">
        <v>217</v>
      </c>
      <c r="C6" s="28" t="s">
        <v>218</v>
      </c>
      <c r="D6" s="28" t="s">
        <v>219</v>
      </c>
      <c r="E6" s="28" t="s">
        <v>1135</v>
      </c>
      <c r="F6" s="28" t="s">
        <v>220</v>
      </c>
      <c r="G6" s="28" t="s">
        <v>221</v>
      </c>
      <c r="H6" s="29" t="s">
        <v>222</v>
      </c>
    </row>
    <row r="7" spans="2:15" ht="16" thickBot="1" x14ac:dyDescent="0.25">
      <c r="J7" s="86"/>
      <c r="K7" s="86"/>
      <c r="L7" s="86"/>
      <c r="M7" s="86"/>
      <c r="N7" s="86"/>
      <c r="O7" s="86"/>
    </row>
    <row r="8" spans="2:15" ht="15" customHeight="1" thickBot="1" x14ac:dyDescent="0.25">
      <c r="B8" s="150" t="s">
        <v>1066</v>
      </c>
      <c r="C8" s="150"/>
      <c r="D8" s="150"/>
      <c r="E8" s="150"/>
      <c r="F8" s="150"/>
      <c r="G8" s="150"/>
      <c r="H8" s="150"/>
      <c r="J8" s="86"/>
      <c r="K8" s="86"/>
      <c r="L8" s="86"/>
      <c r="M8" s="86"/>
      <c r="N8" s="86"/>
      <c r="O8" s="86"/>
    </row>
    <row r="9" spans="2:15" ht="15.75" customHeight="1" x14ac:dyDescent="0.2">
      <c r="B9" s="30" t="s">
        <v>223</v>
      </c>
      <c r="C9" s="31">
        <v>0.3</v>
      </c>
      <c r="D9" s="31">
        <v>0.35</v>
      </c>
      <c r="E9" s="31">
        <v>0.4</v>
      </c>
      <c r="F9" s="31">
        <v>0.3</v>
      </c>
      <c r="G9" s="31">
        <v>0.35</v>
      </c>
      <c r="H9" s="29" t="s">
        <v>224</v>
      </c>
      <c r="J9" s="86"/>
      <c r="K9" s="86"/>
      <c r="L9" s="111"/>
      <c r="M9" s="86"/>
      <c r="N9" s="86"/>
      <c r="O9" s="86"/>
    </row>
    <row r="10" spans="2:15" ht="15.75" customHeight="1" x14ac:dyDescent="0.2">
      <c r="B10" s="30" t="s">
        <v>225</v>
      </c>
      <c r="C10" s="31">
        <v>0.35</v>
      </c>
      <c r="D10" s="31">
        <v>0.35</v>
      </c>
      <c r="E10" s="31">
        <v>0.4</v>
      </c>
      <c r="F10" s="31">
        <v>0.35</v>
      </c>
      <c r="G10" s="31">
        <v>0.35</v>
      </c>
      <c r="H10" s="29" t="s">
        <v>226</v>
      </c>
      <c r="J10" s="86"/>
      <c r="K10" s="86"/>
      <c r="L10" s="111"/>
      <c r="M10" s="86"/>
      <c r="N10" s="86"/>
      <c r="O10" s="86"/>
    </row>
    <row r="11" spans="2:15" ht="24" customHeight="1" x14ac:dyDescent="0.2">
      <c r="B11" s="30" t="s">
        <v>1136</v>
      </c>
      <c r="C11" s="31">
        <v>0.4</v>
      </c>
      <c r="D11" s="31">
        <v>0.5</v>
      </c>
      <c r="E11" s="31">
        <v>0.6</v>
      </c>
      <c r="F11" s="31">
        <v>0.4</v>
      </c>
      <c r="G11" s="31">
        <v>0.5</v>
      </c>
      <c r="H11" s="29" t="s">
        <v>228</v>
      </c>
      <c r="J11" s="86"/>
      <c r="K11" s="86"/>
      <c r="L11" s="111"/>
      <c r="M11" s="86"/>
      <c r="N11" s="86"/>
      <c r="O11" s="86"/>
    </row>
    <row r="12" spans="2:15" ht="15.75" customHeight="1" x14ac:dyDescent="0.2">
      <c r="B12" s="30" t="s">
        <v>229</v>
      </c>
      <c r="C12" s="31">
        <v>0.2</v>
      </c>
      <c r="D12" s="31">
        <v>0.25</v>
      </c>
      <c r="E12" s="31">
        <v>0.3</v>
      </c>
      <c r="F12" s="31">
        <v>0.2</v>
      </c>
      <c r="G12" s="31">
        <v>0.25</v>
      </c>
      <c r="H12" s="29" t="s">
        <v>230</v>
      </c>
      <c r="J12" s="86"/>
      <c r="K12" s="86"/>
      <c r="L12" s="111"/>
      <c r="M12" s="86"/>
      <c r="N12" s="86"/>
      <c r="O12" s="86"/>
    </row>
    <row r="13" spans="2:15" ht="36" customHeight="1" x14ac:dyDescent="0.2">
      <c r="B13" s="30" t="s">
        <v>837</v>
      </c>
      <c r="C13" s="110">
        <v>2000</v>
      </c>
      <c r="D13" s="110">
        <v>2500</v>
      </c>
      <c r="E13" s="110">
        <v>1500</v>
      </c>
      <c r="F13" s="110">
        <v>1500</v>
      </c>
      <c r="G13" s="110">
        <v>1500</v>
      </c>
      <c r="H13" s="29" t="s">
        <v>838</v>
      </c>
      <c r="J13" s="86"/>
      <c r="K13" s="86"/>
      <c r="L13" s="112"/>
      <c r="M13" s="86"/>
      <c r="N13" s="86"/>
      <c r="O13" s="86"/>
    </row>
    <row r="14" spans="2:15" ht="20" customHeight="1" x14ac:dyDescent="0.2">
      <c r="B14" s="30" t="s">
        <v>231</v>
      </c>
      <c r="C14" s="31">
        <v>0.2</v>
      </c>
      <c r="D14" s="31">
        <v>0.2</v>
      </c>
      <c r="E14" s="31">
        <v>0.25</v>
      </c>
      <c r="F14" s="31">
        <v>0.2</v>
      </c>
      <c r="G14" s="31">
        <v>0.2</v>
      </c>
      <c r="H14" s="29" t="s">
        <v>232</v>
      </c>
      <c r="J14" s="86"/>
      <c r="K14" s="86"/>
      <c r="L14" s="111"/>
      <c r="M14" s="86"/>
      <c r="N14" s="86"/>
      <c r="O14" s="86"/>
    </row>
    <row r="15" spans="2:15" ht="16" thickBot="1" x14ac:dyDescent="0.25">
      <c r="J15" s="86"/>
      <c r="K15" s="86"/>
      <c r="L15" s="86"/>
      <c r="M15" s="86"/>
      <c r="N15" s="86"/>
      <c r="O15" s="86"/>
    </row>
    <row r="16" spans="2:15" ht="15" customHeight="1" thickBot="1" x14ac:dyDescent="0.25">
      <c r="B16" s="150" t="s">
        <v>1067</v>
      </c>
      <c r="C16" s="150"/>
      <c r="D16" s="150"/>
      <c r="E16" s="150"/>
      <c r="F16" s="150"/>
      <c r="G16" s="150"/>
      <c r="H16" s="150"/>
      <c r="J16" s="86"/>
      <c r="K16" s="86"/>
      <c r="L16" s="86"/>
      <c r="M16" s="86"/>
      <c r="N16" s="86"/>
      <c r="O16" s="86"/>
    </row>
    <row r="17" spans="2:15" ht="30" customHeight="1" x14ac:dyDescent="0.2">
      <c r="B17" s="109" t="s">
        <v>1081</v>
      </c>
      <c r="D17" s="116"/>
      <c r="H17" s="29"/>
      <c r="J17" s="86"/>
      <c r="K17" s="86"/>
      <c r="L17" s="86"/>
      <c r="M17" s="86"/>
      <c r="N17" s="86"/>
      <c r="O17" s="86"/>
    </row>
    <row r="18" spans="2:15" ht="30" customHeight="1" x14ac:dyDescent="0.2">
      <c r="B18" s="30" t="s">
        <v>806</v>
      </c>
      <c r="C18" s="90" t="s">
        <v>807</v>
      </c>
      <c r="D18" s="110">
        <v>2.5</v>
      </c>
      <c r="E18" s="110">
        <v>0.5</v>
      </c>
      <c r="F18" s="110">
        <v>1</v>
      </c>
      <c r="G18" s="110">
        <v>2</v>
      </c>
      <c r="H18" s="29" t="s">
        <v>1137</v>
      </c>
      <c r="J18" s="86"/>
      <c r="K18" s="86"/>
      <c r="L18" s="113"/>
      <c r="M18" s="86"/>
      <c r="N18" s="86"/>
      <c r="O18" s="86"/>
    </row>
    <row r="19" spans="2:15" ht="30" customHeight="1" x14ac:dyDescent="0.2">
      <c r="B19" s="30" t="s">
        <v>808</v>
      </c>
      <c r="C19" s="90" t="s">
        <v>807</v>
      </c>
      <c r="D19" s="110">
        <v>15</v>
      </c>
      <c r="E19" s="110">
        <v>3</v>
      </c>
      <c r="F19" s="110">
        <v>6</v>
      </c>
      <c r="G19" s="110">
        <v>12</v>
      </c>
      <c r="H19" s="29" t="s">
        <v>1139</v>
      </c>
      <c r="J19" s="86"/>
      <c r="K19" s="86"/>
      <c r="L19" s="113"/>
      <c r="M19" s="86"/>
      <c r="N19" s="86"/>
      <c r="O19" s="86"/>
    </row>
    <row r="20" spans="2:15" ht="30" customHeight="1" x14ac:dyDescent="0.2">
      <c r="B20" s="30" t="s">
        <v>810</v>
      </c>
      <c r="C20" s="32">
        <v>10</v>
      </c>
      <c r="D20" s="152" t="s">
        <v>809</v>
      </c>
      <c r="E20" s="153"/>
      <c r="F20" s="153"/>
      <c r="G20" s="154"/>
      <c r="H20" s="29" t="s">
        <v>1138</v>
      </c>
      <c r="J20" s="86"/>
      <c r="K20" s="86"/>
      <c r="L20" s="114"/>
      <c r="M20" s="86"/>
      <c r="N20" s="86"/>
      <c r="O20" s="86"/>
    </row>
    <row r="21" spans="2:15" ht="30" customHeight="1" x14ac:dyDescent="0.2">
      <c r="B21" s="30" t="s">
        <v>811</v>
      </c>
      <c r="C21" s="33">
        <v>8.8000000000000005E-3</v>
      </c>
      <c r="D21" s="152" t="s">
        <v>809</v>
      </c>
      <c r="E21" s="153"/>
      <c r="F21" s="153"/>
      <c r="G21" s="154"/>
      <c r="H21" s="29" t="s">
        <v>812</v>
      </c>
      <c r="J21" s="86"/>
      <c r="K21" s="86"/>
      <c r="L21" s="114"/>
      <c r="M21" s="86"/>
      <c r="N21" s="86"/>
      <c r="O21" s="86"/>
    </row>
    <row r="22" spans="2:15" ht="30" customHeight="1" x14ac:dyDescent="0.2">
      <c r="B22" s="109" t="s">
        <v>813</v>
      </c>
      <c r="C22" s="135">
        <f>SUM(C23:C34)</f>
        <v>825</v>
      </c>
      <c r="D22" s="135">
        <f t="shared" ref="D22:E22" si="0">SUM(D23:D34)</f>
        <v>4137.1000000000004</v>
      </c>
      <c r="E22" s="135">
        <f t="shared" si="0"/>
        <v>1172.5999999999999</v>
      </c>
      <c r="F22" s="135">
        <f>SUM(F23:F34)</f>
        <v>3206.5</v>
      </c>
      <c r="G22" s="135">
        <f>SUM(G23:G34)</f>
        <v>3404.5</v>
      </c>
      <c r="H22" s="29"/>
      <c r="J22" s="86"/>
      <c r="K22" s="86"/>
      <c r="L22" s="86"/>
      <c r="M22" s="86"/>
      <c r="N22" s="86"/>
      <c r="O22" s="86"/>
    </row>
    <row r="23" spans="2:15" ht="30" customHeight="1" x14ac:dyDescent="0.2">
      <c r="B23" s="30" t="s">
        <v>814</v>
      </c>
      <c r="C23" s="110">
        <v>0</v>
      </c>
      <c r="D23" s="110">
        <v>1100</v>
      </c>
      <c r="E23" s="110">
        <v>245</v>
      </c>
      <c r="F23" s="110">
        <v>1250</v>
      </c>
      <c r="G23" s="110">
        <v>1250</v>
      </c>
      <c r="H23" s="29" t="s">
        <v>815</v>
      </c>
      <c r="J23" s="86"/>
      <c r="K23" s="86"/>
      <c r="L23" s="113"/>
      <c r="M23" s="86"/>
      <c r="N23" s="86"/>
      <c r="O23" s="86"/>
    </row>
    <row r="24" spans="2:15" ht="30" customHeight="1" x14ac:dyDescent="0.2">
      <c r="B24" s="30" t="s">
        <v>816</v>
      </c>
      <c r="C24" s="110" t="s">
        <v>818</v>
      </c>
      <c r="D24" s="110">
        <v>2300</v>
      </c>
      <c r="E24" s="110">
        <v>450</v>
      </c>
      <c r="F24" s="110">
        <v>1500</v>
      </c>
      <c r="G24" s="110">
        <v>1500</v>
      </c>
      <c r="H24" s="29" t="s">
        <v>836</v>
      </c>
      <c r="J24" s="86"/>
      <c r="K24" s="86"/>
      <c r="L24" s="113"/>
      <c r="M24" s="86"/>
      <c r="N24" s="86"/>
      <c r="O24" s="86"/>
    </row>
    <row r="25" spans="2:15" ht="30" customHeight="1" x14ac:dyDescent="0.2">
      <c r="B25" s="30" t="s">
        <v>817</v>
      </c>
      <c r="C25" s="110" t="s">
        <v>818</v>
      </c>
      <c r="D25" s="110" t="s">
        <v>818</v>
      </c>
      <c r="E25" s="110" t="s">
        <v>818</v>
      </c>
      <c r="F25" s="110">
        <v>120</v>
      </c>
      <c r="G25" s="110" t="s">
        <v>818</v>
      </c>
      <c r="H25" s="29" t="s">
        <v>819</v>
      </c>
      <c r="J25" s="86"/>
      <c r="K25" s="86"/>
      <c r="L25" s="113"/>
      <c r="M25" s="86"/>
      <c r="N25" s="86"/>
      <c r="O25" s="86"/>
    </row>
    <row r="26" spans="2:15" ht="30" customHeight="1" x14ac:dyDescent="0.2">
      <c r="B26" s="30" t="s">
        <v>820</v>
      </c>
      <c r="C26" s="110" t="s">
        <v>818</v>
      </c>
      <c r="D26" s="110">
        <v>180</v>
      </c>
      <c r="E26" s="110">
        <v>90</v>
      </c>
      <c r="F26" s="110" t="s">
        <v>818</v>
      </c>
      <c r="G26" s="110">
        <v>40</v>
      </c>
      <c r="H26" s="29" t="s">
        <v>821</v>
      </c>
      <c r="J26" s="86"/>
      <c r="K26" s="86"/>
      <c r="L26" s="113"/>
      <c r="M26" s="86"/>
      <c r="N26" s="86"/>
      <c r="O26" s="86"/>
    </row>
    <row r="27" spans="2:15" ht="30" customHeight="1" x14ac:dyDescent="0.2">
      <c r="B27" s="30" t="s">
        <v>822</v>
      </c>
      <c r="C27" s="110" t="s">
        <v>818</v>
      </c>
      <c r="D27" s="110">
        <v>30</v>
      </c>
      <c r="E27" s="110">
        <v>30</v>
      </c>
      <c r="F27" s="110" t="s">
        <v>818</v>
      </c>
      <c r="G27" s="110">
        <v>20</v>
      </c>
      <c r="H27" s="29" t="s">
        <v>823</v>
      </c>
      <c r="J27" s="86"/>
      <c r="K27" s="86"/>
      <c r="L27" s="113"/>
      <c r="M27" s="86"/>
      <c r="N27" s="86"/>
      <c r="O27" s="86"/>
    </row>
    <row r="28" spans="2:15" ht="30" customHeight="1" x14ac:dyDescent="0.2">
      <c r="B28" s="30" t="s">
        <v>824</v>
      </c>
      <c r="C28" s="110" t="s">
        <v>818</v>
      </c>
      <c r="D28" s="110">
        <v>130</v>
      </c>
      <c r="E28" s="110">
        <v>70</v>
      </c>
      <c r="F28" s="110">
        <v>20</v>
      </c>
      <c r="G28" s="110">
        <v>20</v>
      </c>
      <c r="H28" s="29" t="s">
        <v>825</v>
      </c>
      <c r="J28" s="86"/>
      <c r="K28" s="86"/>
      <c r="L28" s="113"/>
      <c r="M28" s="86"/>
      <c r="N28" s="86"/>
      <c r="O28" s="86"/>
    </row>
    <row r="29" spans="2:15" ht="30" customHeight="1" x14ac:dyDescent="0.2">
      <c r="B29" s="30" t="s">
        <v>826</v>
      </c>
      <c r="C29" s="110" t="s">
        <v>818</v>
      </c>
      <c r="D29" s="110">
        <v>16</v>
      </c>
      <c r="E29" s="110">
        <v>16</v>
      </c>
      <c r="F29" s="110">
        <v>15</v>
      </c>
      <c r="G29" s="110">
        <v>15</v>
      </c>
      <c r="H29" s="29" t="s">
        <v>827</v>
      </c>
      <c r="J29" s="86"/>
      <c r="K29" s="86"/>
      <c r="L29" s="113"/>
      <c r="M29" s="86"/>
      <c r="N29" s="86"/>
      <c r="O29" s="86"/>
    </row>
    <row r="30" spans="2:15" ht="30" customHeight="1" x14ac:dyDescent="0.2">
      <c r="B30" s="30" t="s">
        <v>828</v>
      </c>
      <c r="C30" s="110" t="s">
        <v>818</v>
      </c>
      <c r="D30" s="110">
        <v>5</v>
      </c>
      <c r="E30" s="110">
        <v>5</v>
      </c>
      <c r="F30" s="110" t="s">
        <v>818</v>
      </c>
      <c r="G30" s="110" t="s">
        <v>818</v>
      </c>
      <c r="H30" s="29" t="s">
        <v>829</v>
      </c>
      <c r="J30" s="86"/>
      <c r="K30" s="86"/>
      <c r="L30" s="113"/>
      <c r="M30" s="86"/>
      <c r="N30" s="86"/>
      <c r="O30" s="86"/>
    </row>
    <row r="31" spans="2:15" ht="30" customHeight="1" x14ac:dyDescent="0.2">
      <c r="B31" s="30" t="s">
        <v>830</v>
      </c>
      <c r="C31" s="110" t="s">
        <v>818</v>
      </c>
      <c r="D31" s="110" t="s">
        <v>818</v>
      </c>
      <c r="E31" s="110" t="s">
        <v>818</v>
      </c>
      <c r="F31" s="110">
        <v>10</v>
      </c>
      <c r="G31" s="110">
        <v>10</v>
      </c>
      <c r="H31" s="29" t="s">
        <v>831</v>
      </c>
      <c r="J31" s="86"/>
      <c r="K31" s="86"/>
      <c r="L31" s="113"/>
      <c r="M31" s="86"/>
      <c r="N31" s="86"/>
      <c r="O31" s="86"/>
    </row>
    <row r="32" spans="2:15" ht="30" customHeight="1" x14ac:dyDescent="0.2">
      <c r="B32" s="30" t="s">
        <v>832</v>
      </c>
      <c r="C32" s="110">
        <v>200</v>
      </c>
      <c r="D32" s="110" t="s">
        <v>818</v>
      </c>
      <c r="E32" s="110" t="s">
        <v>818</v>
      </c>
      <c r="F32" s="110" t="s">
        <v>818</v>
      </c>
      <c r="G32" s="110" t="s">
        <v>818</v>
      </c>
      <c r="H32" s="29" t="s">
        <v>833</v>
      </c>
      <c r="J32" s="86"/>
      <c r="K32" s="86"/>
      <c r="L32" s="113"/>
      <c r="M32" s="86"/>
      <c r="N32" s="86"/>
      <c r="O32" s="86"/>
    </row>
    <row r="33" spans="2:15" ht="31" customHeight="1" x14ac:dyDescent="0.2">
      <c r="B33" s="30" t="s">
        <v>804</v>
      </c>
      <c r="C33" s="110">
        <v>550</v>
      </c>
      <c r="D33" s="110">
        <v>0</v>
      </c>
      <c r="E33" s="110">
        <v>160</v>
      </c>
      <c r="F33" s="110">
        <v>0</v>
      </c>
      <c r="G33" s="110">
        <v>240</v>
      </c>
      <c r="H33" s="29" t="s">
        <v>805</v>
      </c>
      <c r="J33" s="86"/>
      <c r="K33" s="86"/>
      <c r="L33" s="113"/>
      <c r="M33" s="86"/>
      <c r="N33" s="86"/>
      <c r="O33" s="86"/>
    </row>
    <row r="34" spans="2:15" ht="30" customHeight="1" x14ac:dyDescent="0.2">
      <c r="B34" s="30" t="s">
        <v>834</v>
      </c>
      <c r="C34" s="110">
        <f>SUM(C23:C33)*0.1</f>
        <v>75</v>
      </c>
      <c r="D34" s="110">
        <f>SUM(D23:D33)*0.1</f>
        <v>376.1</v>
      </c>
      <c r="E34" s="110">
        <f t="shared" ref="E34:G34" si="1">SUM(E23:E33)*0.1</f>
        <v>106.60000000000001</v>
      </c>
      <c r="F34" s="110">
        <f t="shared" si="1"/>
        <v>291.5</v>
      </c>
      <c r="G34" s="110">
        <f t="shared" si="1"/>
        <v>309.5</v>
      </c>
      <c r="H34" s="29" t="s">
        <v>835</v>
      </c>
      <c r="J34" s="86"/>
      <c r="K34" s="86"/>
      <c r="L34" s="113"/>
      <c r="M34" s="86"/>
      <c r="N34" s="86"/>
      <c r="O34" s="86"/>
    </row>
    <row r="35" spans="2:15" x14ac:dyDescent="0.2">
      <c r="J35" s="86"/>
      <c r="K35" s="86"/>
      <c r="L35" s="86"/>
      <c r="M35" s="86"/>
      <c r="N35" s="86"/>
      <c r="O35" s="86"/>
    </row>
    <row r="36" spans="2:15" ht="15" customHeight="1" thickBot="1" x14ac:dyDescent="0.25"/>
    <row r="37" spans="2:15" ht="15" customHeight="1" thickBot="1" x14ac:dyDescent="0.25">
      <c r="B37" s="150" t="s">
        <v>1068</v>
      </c>
      <c r="C37" s="150"/>
      <c r="D37" s="150"/>
      <c r="E37" s="150"/>
      <c r="F37" s="150"/>
      <c r="G37" s="150"/>
      <c r="H37" s="150"/>
    </row>
    <row r="38" spans="2:15" ht="24" customHeight="1" x14ac:dyDescent="0.2">
      <c r="B38" s="30" t="s">
        <v>233</v>
      </c>
      <c r="C38" s="34">
        <v>4</v>
      </c>
      <c r="D38" s="34">
        <v>4</v>
      </c>
      <c r="E38" s="34">
        <v>2</v>
      </c>
      <c r="F38" s="34">
        <v>4</v>
      </c>
      <c r="G38" s="34">
        <v>3</v>
      </c>
      <c r="H38" s="29" t="s">
        <v>234</v>
      </c>
    </row>
    <row r="39" spans="2:15" ht="24" customHeight="1" x14ac:dyDescent="0.2">
      <c r="B39" s="35" t="s">
        <v>235</v>
      </c>
      <c r="C39" s="34">
        <v>2</v>
      </c>
      <c r="D39" s="34">
        <v>5</v>
      </c>
      <c r="E39" s="34">
        <v>5</v>
      </c>
      <c r="F39" s="34">
        <v>5</v>
      </c>
      <c r="G39" s="34">
        <v>5</v>
      </c>
      <c r="H39" s="29" t="s">
        <v>236</v>
      </c>
    </row>
    <row r="40" spans="2:15" ht="24" customHeight="1" x14ac:dyDescent="0.2">
      <c r="B40" s="30" t="s">
        <v>237</v>
      </c>
      <c r="C40" s="34">
        <v>3</v>
      </c>
      <c r="D40" s="34">
        <v>4</v>
      </c>
      <c r="E40" s="34">
        <v>3</v>
      </c>
      <c r="F40" s="34">
        <v>4</v>
      </c>
      <c r="G40" s="34">
        <v>4</v>
      </c>
      <c r="H40" s="29" t="s">
        <v>238</v>
      </c>
    </row>
    <row r="41" spans="2:15" ht="24" customHeight="1" x14ac:dyDescent="0.2">
      <c r="B41" s="30" t="s">
        <v>239</v>
      </c>
      <c r="C41" s="34">
        <v>5</v>
      </c>
      <c r="D41" s="34">
        <v>4</v>
      </c>
      <c r="E41" s="34">
        <v>3</v>
      </c>
      <c r="F41" s="34">
        <v>3</v>
      </c>
      <c r="G41" s="34">
        <v>3</v>
      </c>
      <c r="H41" s="29" t="s">
        <v>240</v>
      </c>
    </row>
    <row r="42" spans="2:15" ht="24" customHeight="1" x14ac:dyDescent="0.2">
      <c r="B42" s="30" t="s">
        <v>241</v>
      </c>
      <c r="C42" s="34">
        <v>1</v>
      </c>
      <c r="D42" s="34">
        <v>3</v>
      </c>
      <c r="E42" s="34">
        <v>5</v>
      </c>
      <c r="F42" s="34">
        <v>2</v>
      </c>
      <c r="G42" s="34">
        <v>3</v>
      </c>
      <c r="H42" s="29" t="s">
        <v>1133</v>
      </c>
    </row>
    <row r="43" spans="2:15" ht="24" customHeight="1" x14ac:dyDescent="0.2">
      <c r="B43" s="30" t="s">
        <v>242</v>
      </c>
      <c r="C43" s="34">
        <v>2</v>
      </c>
      <c r="D43" s="34">
        <v>5</v>
      </c>
      <c r="E43" s="34">
        <v>5</v>
      </c>
      <c r="F43" s="34">
        <v>4</v>
      </c>
      <c r="G43" s="34">
        <v>5</v>
      </c>
      <c r="H43" s="29" t="s">
        <v>58</v>
      </c>
    </row>
    <row r="44" spans="2:15" ht="24" customHeight="1" x14ac:dyDescent="0.2">
      <c r="B44" s="30" t="s">
        <v>243</v>
      </c>
      <c r="C44" s="34">
        <v>2</v>
      </c>
      <c r="D44" s="34">
        <v>5</v>
      </c>
      <c r="E44" s="34">
        <v>5</v>
      </c>
      <c r="F44" s="34">
        <v>5</v>
      </c>
      <c r="G44" s="34">
        <v>5</v>
      </c>
      <c r="H44" s="29" t="s">
        <v>244</v>
      </c>
    </row>
    <row r="45" spans="2:15" ht="24" customHeight="1" x14ac:dyDescent="0.2">
      <c r="B45" s="30" t="s">
        <v>245</v>
      </c>
      <c r="C45" s="31">
        <v>0.85</v>
      </c>
      <c r="D45" s="31">
        <v>0.95</v>
      </c>
      <c r="E45" s="31">
        <v>0.95</v>
      </c>
      <c r="F45" s="31">
        <v>0.9</v>
      </c>
      <c r="G45" s="31">
        <v>0.95</v>
      </c>
      <c r="H45" s="29" t="s">
        <v>246</v>
      </c>
    </row>
    <row r="46" spans="2:15" ht="24" customHeight="1" x14ac:dyDescent="0.2">
      <c r="B46" s="30" t="s">
        <v>247</v>
      </c>
      <c r="C46" s="31">
        <v>0.45</v>
      </c>
      <c r="D46" s="31">
        <v>0.85</v>
      </c>
      <c r="E46" s="31">
        <v>0.9</v>
      </c>
      <c r="F46" s="31">
        <v>0.7</v>
      </c>
      <c r="G46" s="31">
        <v>0.85</v>
      </c>
      <c r="H46" s="29" t="s">
        <v>248</v>
      </c>
    </row>
    <row r="47" spans="2:15" ht="15" customHeight="1" x14ac:dyDescent="0.2"/>
    <row r="48" spans="2:15" ht="15" customHeight="1" x14ac:dyDescent="0.2"/>
    <row r="49" ht="15" customHeight="1" x14ac:dyDescent="0.2"/>
    <row r="50" ht="15" customHeight="1" x14ac:dyDescent="0.2"/>
    <row r="51" ht="15" customHeight="1" x14ac:dyDescent="0.2"/>
  </sheetData>
  <mergeCells count="7">
    <mergeCell ref="B5:H5"/>
    <mergeCell ref="B2:H2"/>
    <mergeCell ref="D20:G20"/>
    <mergeCell ref="D21:G21"/>
    <mergeCell ref="B37:H37"/>
    <mergeCell ref="B16:H16"/>
    <mergeCell ref="B8:H8"/>
  </mergeCell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3C8BF-E6B0-6545-99F7-775918962974}">
  <dimension ref="B2:Y131"/>
  <sheetViews>
    <sheetView topLeftCell="A52" zoomScale="116" workbookViewId="0">
      <selection activeCell="B69" sqref="B69"/>
    </sheetView>
  </sheetViews>
  <sheetFormatPr baseColWidth="10" defaultRowHeight="15" x14ac:dyDescent="0.2"/>
  <cols>
    <col min="1" max="1" width="10.83203125" style="86"/>
    <col min="2" max="2" width="33.33203125" style="86" customWidth="1"/>
    <col min="3" max="12" width="13.83203125" style="86" customWidth="1"/>
    <col min="13" max="15" width="10.83203125" style="86"/>
    <col min="16" max="16" width="8.1640625" style="86" bestFit="1" customWidth="1"/>
    <col min="17" max="17" width="27.33203125" style="86" bestFit="1" customWidth="1"/>
    <col min="18" max="18" width="27.1640625" style="86" bestFit="1" customWidth="1"/>
    <col min="19" max="19" width="7" style="86" bestFit="1" customWidth="1"/>
    <col min="20" max="20" width="10.6640625" style="86" bestFit="1" customWidth="1"/>
    <col min="21" max="21" width="10.83203125" style="86" bestFit="1" customWidth="1"/>
    <col min="22" max="22" width="36.33203125" style="86" bestFit="1" customWidth="1"/>
    <col min="23" max="25" width="36.6640625" style="86" customWidth="1"/>
    <col min="26" max="16384" width="10.83203125" style="86"/>
  </cols>
  <sheetData>
    <row r="2" spans="2:22" x14ac:dyDescent="0.2">
      <c r="B2" s="86" t="s">
        <v>1089</v>
      </c>
    </row>
    <row r="4" spans="2:22" ht="17" x14ac:dyDescent="0.2">
      <c r="B4" s="171" t="s">
        <v>759</v>
      </c>
      <c r="C4" s="171"/>
      <c r="D4" s="171"/>
      <c r="E4" s="171"/>
      <c r="F4" s="171"/>
      <c r="G4" s="171"/>
      <c r="H4" s="171"/>
      <c r="I4" s="171"/>
      <c r="J4" s="171"/>
      <c r="K4" s="171"/>
      <c r="L4" s="171"/>
    </row>
    <row r="5" spans="2:22" x14ac:dyDescent="0.2">
      <c r="B5" s="165" t="s">
        <v>1082</v>
      </c>
      <c r="C5" s="165"/>
      <c r="D5" s="165"/>
      <c r="E5" s="165"/>
      <c r="F5" s="165"/>
      <c r="G5" s="165"/>
      <c r="H5" s="165"/>
      <c r="I5" s="165"/>
      <c r="J5" s="165"/>
      <c r="K5" s="165"/>
      <c r="L5" s="165"/>
    </row>
    <row r="6" spans="2:22" x14ac:dyDescent="0.2">
      <c r="B6" s="172" t="s">
        <v>1084</v>
      </c>
      <c r="C6" s="172"/>
      <c r="D6" s="172"/>
      <c r="E6" s="172"/>
      <c r="F6" s="172"/>
      <c r="G6" s="172"/>
      <c r="H6" s="172"/>
      <c r="I6" s="172"/>
      <c r="J6" s="172"/>
      <c r="K6" s="172"/>
      <c r="L6" s="172"/>
    </row>
    <row r="7" spans="2:22" ht="39" x14ac:dyDescent="0.2">
      <c r="B7" s="119" t="s">
        <v>760</v>
      </c>
      <c r="C7" s="119" t="s">
        <v>858</v>
      </c>
      <c r="D7" s="119" t="s">
        <v>846</v>
      </c>
      <c r="E7" s="119" t="s">
        <v>847</v>
      </c>
      <c r="F7" s="119" t="s">
        <v>848</v>
      </c>
      <c r="G7" s="119" t="s">
        <v>849</v>
      </c>
      <c r="H7" s="119" t="s">
        <v>850</v>
      </c>
      <c r="I7" s="119" t="s">
        <v>851</v>
      </c>
      <c r="J7" s="119" t="s">
        <v>852</v>
      </c>
      <c r="K7" s="119" t="s">
        <v>761</v>
      </c>
      <c r="L7" s="119" t="s">
        <v>762</v>
      </c>
    </row>
    <row r="8" spans="2:22" x14ac:dyDescent="0.2">
      <c r="B8" s="92" t="s">
        <v>1069</v>
      </c>
      <c r="C8" s="126">
        <f>ROUNDUP(MAX(D8:J8)/5,0)</f>
        <v>1</v>
      </c>
      <c r="D8" s="126">
        <f>SUMIFS($T$73:$T$131,$P$73:$P$131,LEFT($B8,2),$R$73:$R$131,D$7)</f>
        <v>5</v>
      </c>
      <c r="E8" s="126">
        <f>SUMIFS($T$73:$T$131,$P$73:$P$131,LEFT($B8,2),$R$73:$R$131,E$7)</f>
        <v>1</v>
      </c>
      <c r="F8" s="126">
        <f>SUMIFS($T$73:$T$131,$P$73:$P$131,LEFT($B8,2),$R$73:$R$131,F$7)</f>
        <v>1</v>
      </c>
      <c r="G8" s="126">
        <f>SUMIFS($T$73:$T$131,$P$73:$P$131,LEFT($B8,2),$R$73:$R$131,G$7)</f>
        <v>0</v>
      </c>
      <c r="H8" s="126">
        <f>SUMIFS($T$73:$T$131,$P$73:$P$131,LEFT($B8,2),$R$73:$R$131,H$7)</f>
        <v>0</v>
      </c>
      <c r="I8" s="126">
        <f>SUMIFS($T$73:$T$131,$P$73:$P$131,LEFT($B8,2),$R$73:$R$131,I$7)</f>
        <v>0</v>
      </c>
      <c r="J8" s="126">
        <f>SUMIFS($T$73:$T$131,$P$73:$P$131,LEFT($B8,2),$R$73:$R$131,J$7)</f>
        <v>0</v>
      </c>
      <c r="K8" s="126">
        <f>SUM(D8:J8)</f>
        <v>7</v>
      </c>
      <c r="L8" s="128">
        <f>SUM(D8,G8,H8,I8,J8)*'02_INPUTS'!$D$35</f>
        <v>10000</v>
      </c>
    </row>
    <row r="9" spans="2:22" x14ac:dyDescent="0.2">
      <c r="B9" s="89" t="s">
        <v>840</v>
      </c>
      <c r="C9" s="127">
        <f t="shared" ref="C9:C20" si="0">ROUNDUP(MAX(D9:J9)/5,0)</f>
        <v>2</v>
      </c>
      <c r="D9" s="127">
        <f>SUMIFS($T$73:$T$131,$P$73:$P$131,LEFT($B9,2),$R$73:$R$131,D$7)</f>
        <v>2</v>
      </c>
      <c r="E9" s="127">
        <f>SUMIFS($T$73:$T$131,$P$73:$P$131,LEFT($B9,2),$R$73:$R$131,E$7)</f>
        <v>4</v>
      </c>
      <c r="F9" s="127">
        <f>SUMIFS($T$73:$T$131,$P$73:$P$131,LEFT($B9,2),$R$73:$R$131,F$7)</f>
        <v>10</v>
      </c>
      <c r="G9" s="127">
        <f>SUMIFS($T$73:$T$131,$P$73:$P$131,LEFT($B9,2),$R$73:$R$131,G$7)</f>
        <v>1</v>
      </c>
      <c r="H9" s="127">
        <f>SUMIFS($T$73:$T$131,$P$73:$P$131,LEFT($B9,2),$R$73:$R$131,H$7)</f>
        <v>0.5</v>
      </c>
      <c r="I9" s="127">
        <f>SUMIFS($T$73:$T$131,$P$73:$P$131,LEFT($B9,2),$R$73:$R$131,I$7)</f>
        <v>0.5</v>
      </c>
      <c r="J9" s="127">
        <f>SUMIFS($T$73:$T$131,$P$73:$P$131,LEFT($B9,2),$R$73:$R$131,J$7)</f>
        <v>5</v>
      </c>
      <c r="K9" s="127">
        <f t="shared" ref="K9:K20" si="1">SUM(D9:J9)</f>
        <v>23</v>
      </c>
      <c r="L9" s="129">
        <f>SUM(D9,G9,H9,I9,J9)*'02_INPUTS'!$D$35</f>
        <v>18000</v>
      </c>
    </row>
    <row r="10" spans="2:22" x14ac:dyDescent="0.2">
      <c r="B10" s="87" t="s">
        <v>841</v>
      </c>
      <c r="C10" s="126">
        <f t="shared" si="0"/>
        <v>1</v>
      </c>
      <c r="D10" s="126">
        <f>SUMIFS($T$73:$T$131,$P$73:$P$131,LEFT($B10,2),$R$73:$R$131,D$7)</f>
        <v>1</v>
      </c>
      <c r="E10" s="126">
        <f>SUMIFS($T$73:$T$131,$P$73:$P$131,LEFT($B10,2),$R$73:$R$131,E$7)</f>
        <v>2</v>
      </c>
      <c r="F10" s="126">
        <f>SUMIFS($T$73:$T$131,$P$73:$P$131,LEFT($B10,2),$R$73:$R$131,F$7)</f>
        <v>2</v>
      </c>
      <c r="G10" s="126">
        <f>SUMIFS($T$73:$T$131,$P$73:$P$131,LEFT($B10,2),$R$73:$R$131,G$7)</f>
        <v>3</v>
      </c>
      <c r="H10" s="126">
        <f>SUMIFS($T$73:$T$131,$P$73:$P$131,LEFT($B10,2),$R$73:$R$131,H$7)</f>
        <v>3.5</v>
      </c>
      <c r="I10" s="126">
        <f>SUMIFS($T$73:$T$131,$P$73:$P$131,LEFT($B10,2),$R$73:$R$131,I$7)</f>
        <v>3</v>
      </c>
      <c r="J10" s="126">
        <f>SUMIFS($T$73:$T$131,$P$73:$P$131,LEFT($B10,2),$R$73:$R$131,J$7)</f>
        <v>1.5</v>
      </c>
      <c r="K10" s="126">
        <f t="shared" si="1"/>
        <v>16</v>
      </c>
      <c r="L10" s="128">
        <f>SUM(D10,G10,H10,I10,J10)*'02_INPUTS'!$D$35</f>
        <v>24000</v>
      </c>
    </row>
    <row r="11" spans="2:22" x14ac:dyDescent="0.2">
      <c r="B11" s="89" t="s">
        <v>842</v>
      </c>
      <c r="C11" s="127">
        <f t="shared" si="0"/>
        <v>2</v>
      </c>
      <c r="D11" s="127">
        <f>SUMIFS($T$73:$T$131,$P$73:$P$131,LEFT($B11,2),$R$73:$R$131,D$7)</f>
        <v>0.5</v>
      </c>
      <c r="E11" s="127">
        <f>SUMIFS($T$73:$T$131,$P$73:$P$131,LEFT($B11,2),$R$73:$R$131,E$7)</f>
        <v>0.5</v>
      </c>
      <c r="F11" s="127">
        <f>SUMIFS($T$73:$T$131,$P$73:$P$131,LEFT($B11,2),$R$73:$R$131,F$7)</f>
        <v>0.5</v>
      </c>
      <c r="G11" s="127">
        <f>SUMIFS($T$73:$T$131,$P$73:$P$131,LEFT($B11,2),$R$73:$R$131,G$7)</f>
        <v>2</v>
      </c>
      <c r="H11" s="127">
        <f>SUMIFS($T$73:$T$131,$P$73:$P$131,LEFT($B11,2),$R$73:$R$131,H$7)</f>
        <v>6.5</v>
      </c>
      <c r="I11" s="127">
        <f>SUMIFS($T$73:$T$131,$P$73:$P$131,LEFT($B11,2),$R$73:$R$131,I$7)</f>
        <v>1.5</v>
      </c>
      <c r="J11" s="127">
        <f>SUMIFS($T$73:$T$131,$P$73:$P$131,LEFT($B11,2),$R$73:$R$131,J$7)</f>
        <v>1.5</v>
      </c>
      <c r="K11" s="127">
        <f t="shared" si="1"/>
        <v>13</v>
      </c>
      <c r="L11" s="129">
        <f>SUM(D11,G11,H11,I11,J11)*'02_INPUTS'!$D$35</f>
        <v>24000</v>
      </c>
    </row>
    <row r="12" spans="2:22" x14ac:dyDescent="0.2">
      <c r="B12" s="92" t="s">
        <v>843</v>
      </c>
      <c r="C12" s="126">
        <f t="shared" si="0"/>
        <v>4</v>
      </c>
      <c r="D12" s="126">
        <f>SUMIFS($T$73:$T$131,$P$73:$P$131,LEFT($B12,2),$R$73:$R$131,D$7)</f>
        <v>10</v>
      </c>
      <c r="E12" s="126">
        <f>SUMIFS($T$73:$T$131,$P$73:$P$131,LEFT($B12,2),$R$73:$R$131,E$7)</f>
        <v>4</v>
      </c>
      <c r="F12" s="126">
        <f>SUMIFS($T$73:$T$131,$P$73:$P$131,LEFT($B12,2),$R$73:$R$131,F$7)</f>
        <v>4</v>
      </c>
      <c r="G12" s="126">
        <f>SUMIFS($T$73:$T$131,$P$73:$P$131,LEFT($B12,2),$R$73:$R$131,G$7)</f>
        <v>3</v>
      </c>
      <c r="H12" s="126">
        <f>SUMIFS($T$73:$T$131,$P$73:$P$131,LEFT($B12,2),$R$73:$R$131,H$7)</f>
        <v>16.5</v>
      </c>
      <c r="I12" s="126">
        <f>SUMIFS($T$73:$T$131,$P$73:$P$131,LEFT($B12,2),$R$73:$R$131,I$7)</f>
        <v>4</v>
      </c>
      <c r="J12" s="126">
        <f>SUMIFS($T$73:$T$131,$P$73:$P$131,LEFT($B12,2),$R$73:$R$131,J$7)</f>
        <v>6</v>
      </c>
      <c r="K12" s="126">
        <f t="shared" si="1"/>
        <v>47.5</v>
      </c>
      <c r="L12" s="128">
        <f>SUM(D12,G12,H12,I12,J12)*'02_INPUTS'!$D$35</f>
        <v>79000</v>
      </c>
    </row>
    <row r="13" spans="2:22" x14ac:dyDescent="0.2">
      <c r="B13" s="131" t="s">
        <v>763</v>
      </c>
      <c r="C13" s="127"/>
      <c r="D13" s="127"/>
      <c r="E13" s="127"/>
      <c r="F13" s="127"/>
      <c r="G13" s="127"/>
      <c r="H13" s="127"/>
      <c r="I13" s="127"/>
      <c r="J13" s="127"/>
      <c r="K13" s="127"/>
      <c r="L13" s="129"/>
    </row>
    <row r="14" spans="2:22" x14ac:dyDescent="0.2">
      <c r="B14" s="115" t="s">
        <v>1063</v>
      </c>
      <c r="C14" s="126"/>
      <c r="D14" s="126"/>
      <c r="E14" s="126"/>
      <c r="F14" s="126"/>
      <c r="G14" s="126"/>
      <c r="H14" s="126"/>
      <c r="I14" s="126"/>
      <c r="J14" s="126"/>
      <c r="K14" s="126"/>
      <c r="L14" s="130"/>
      <c r="V14" s="143">
        <v>40000</v>
      </c>
    </row>
    <row r="15" spans="2:22" x14ac:dyDescent="0.2">
      <c r="B15" s="131" t="s">
        <v>1083</v>
      </c>
      <c r="C15" s="127"/>
      <c r="D15" s="127"/>
      <c r="E15" s="127"/>
      <c r="F15" s="127"/>
      <c r="G15" s="127"/>
      <c r="H15" s="127"/>
      <c r="I15" s="127"/>
      <c r="J15" s="127"/>
      <c r="K15" s="127"/>
      <c r="L15" s="129"/>
      <c r="V15" s="143">
        <v>27000</v>
      </c>
    </row>
    <row r="16" spans="2:22" x14ac:dyDescent="0.2">
      <c r="B16" s="115" t="s">
        <v>1085</v>
      </c>
      <c r="C16" s="126"/>
      <c r="D16" s="126"/>
      <c r="E16" s="126"/>
      <c r="F16" s="126"/>
      <c r="G16" s="126"/>
      <c r="H16" s="126"/>
      <c r="I16" s="126"/>
      <c r="J16" s="126"/>
      <c r="K16" s="126"/>
      <c r="L16" s="130"/>
      <c r="V16" s="143">
        <v>22000</v>
      </c>
    </row>
    <row r="17" spans="2:22" x14ac:dyDescent="0.2">
      <c r="B17" s="93" t="s">
        <v>844</v>
      </c>
      <c r="C17" s="127">
        <f t="shared" si="0"/>
        <v>2</v>
      </c>
      <c r="D17" s="127">
        <f t="shared" ref="D17:J17" si="2">SUMIFS($T$73:$T$131,$P$73:$P$131,LEFT($B17,2),$R$73:$R$131,D$7)</f>
        <v>5</v>
      </c>
      <c r="E17" s="127">
        <f t="shared" si="2"/>
        <v>3</v>
      </c>
      <c r="F17" s="127">
        <f t="shared" si="2"/>
        <v>6</v>
      </c>
      <c r="G17" s="127">
        <f t="shared" si="2"/>
        <v>2</v>
      </c>
      <c r="H17" s="127">
        <f t="shared" si="2"/>
        <v>9</v>
      </c>
      <c r="I17" s="127">
        <f t="shared" si="2"/>
        <v>1.5</v>
      </c>
      <c r="J17" s="127">
        <f t="shared" si="2"/>
        <v>4.5</v>
      </c>
      <c r="K17" s="127">
        <f t="shared" si="1"/>
        <v>31</v>
      </c>
      <c r="L17" s="129">
        <f>SUM(D17,G17,H17,I17,J17)*'02_INPUTS'!$D$35</f>
        <v>44000</v>
      </c>
      <c r="V17" s="143">
        <v>80000</v>
      </c>
    </row>
    <row r="18" spans="2:22" x14ac:dyDescent="0.2">
      <c r="B18" s="92" t="s">
        <v>765</v>
      </c>
      <c r="C18" s="126"/>
      <c r="D18" s="126"/>
      <c r="E18" s="126"/>
      <c r="F18" s="126"/>
      <c r="G18" s="126"/>
      <c r="H18" s="126"/>
      <c r="I18" s="126"/>
      <c r="J18" s="126"/>
      <c r="K18" s="126"/>
      <c r="L18" s="128"/>
      <c r="V18" s="143">
        <v>52000</v>
      </c>
    </row>
    <row r="19" spans="2:22" x14ac:dyDescent="0.2">
      <c r="B19" s="89" t="s">
        <v>845</v>
      </c>
      <c r="C19" s="127">
        <f t="shared" si="0"/>
        <v>1</v>
      </c>
      <c r="D19" s="127">
        <f t="shared" ref="D19:J19" si="3">SUMIFS($T$73:$T$131,$P$73:$P$131,LEFT($B19,2),$R$73:$R$131,D$7)</f>
        <v>1</v>
      </c>
      <c r="E19" s="127">
        <f t="shared" si="3"/>
        <v>0.5</v>
      </c>
      <c r="F19" s="127">
        <f t="shared" si="3"/>
        <v>0.5</v>
      </c>
      <c r="G19" s="127">
        <f t="shared" si="3"/>
        <v>1</v>
      </c>
      <c r="H19" s="127">
        <f t="shared" si="3"/>
        <v>2</v>
      </c>
      <c r="I19" s="127">
        <f t="shared" si="3"/>
        <v>0.5</v>
      </c>
      <c r="J19" s="127">
        <f t="shared" si="3"/>
        <v>0.5</v>
      </c>
      <c r="K19" s="127">
        <f t="shared" si="1"/>
        <v>6</v>
      </c>
      <c r="L19" s="129">
        <f>SUM(D19,G19,H19,I19,J19)*'02_INPUTS'!$D$35</f>
        <v>10000</v>
      </c>
      <c r="V19" s="143">
        <v>10000</v>
      </c>
    </row>
    <row r="20" spans="2:22" x14ac:dyDescent="0.2">
      <c r="B20" s="92" t="s">
        <v>1070</v>
      </c>
      <c r="C20" s="126">
        <f t="shared" si="0"/>
        <v>1</v>
      </c>
      <c r="D20" s="126">
        <f>SUMIFS($T$73:$T$131,$P$73:$P$131,LEFT($B20,2),$R$73:$R$131,D$7)</f>
        <v>3</v>
      </c>
      <c r="E20" s="126">
        <f t="shared" ref="E20:J20" si="4">SUMIFS($T$73:$T$131,$P$73:$P$131,LEFT($B20,2),$R$73:$R$131,E$7)</f>
        <v>2</v>
      </c>
      <c r="F20" s="126">
        <f t="shared" si="4"/>
        <v>0</v>
      </c>
      <c r="G20" s="126">
        <f t="shared" si="4"/>
        <v>0</v>
      </c>
      <c r="H20" s="126">
        <f t="shared" si="4"/>
        <v>0</v>
      </c>
      <c r="I20" s="126">
        <f t="shared" si="4"/>
        <v>0</v>
      </c>
      <c r="J20" s="126">
        <f t="shared" si="4"/>
        <v>0</v>
      </c>
      <c r="K20" s="126">
        <f t="shared" si="1"/>
        <v>5</v>
      </c>
      <c r="L20" s="128">
        <f>SUM(D20,G20,H20,I20,J20)*'02_INPUTS'!$D$35</f>
        <v>6000</v>
      </c>
      <c r="V20" s="143" t="s">
        <v>1119</v>
      </c>
    </row>
    <row r="21" spans="2:22" x14ac:dyDescent="0.2">
      <c r="B21" s="89" t="s">
        <v>1071</v>
      </c>
      <c r="C21" s="127"/>
      <c r="D21" s="127"/>
      <c r="E21" s="127"/>
      <c r="F21" s="127"/>
      <c r="G21" s="127"/>
      <c r="H21" s="127"/>
      <c r="I21" s="127"/>
      <c r="J21" s="127"/>
      <c r="K21" s="127"/>
      <c r="L21" s="129">
        <v>35000</v>
      </c>
      <c r="V21" s="86">
        <f>SUM(V14:V20)</f>
        <v>231000</v>
      </c>
    </row>
    <row r="22" spans="2:22" x14ac:dyDescent="0.2">
      <c r="B22" s="173" t="s">
        <v>766</v>
      </c>
      <c r="C22" s="173"/>
      <c r="D22" s="120">
        <f>SUM(D17:D20,D8:D12)</f>
        <v>27.5</v>
      </c>
      <c r="E22" s="120">
        <f t="shared" ref="E22:G22" si="5">SUM(E17:E20,E8:E12)</f>
        <v>17</v>
      </c>
      <c r="F22" s="120">
        <f t="shared" si="5"/>
        <v>24</v>
      </c>
      <c r="G22" s="120">
        <f t="shared" si="5"/>
        <v>12</v>
      </c>
      <c r="H22" s="120">
        <f>SUM(H17:H20,H8:H12)</f>
        <v>38</v>
      </c>
      <c r="I22" s="120">
        <f t="shared" ref="I22" si="6">SUM(I17:I20,I8:I12)</f>
        <v>11</v>
      </c>
      <c r="J22" s="120">
        <f t="shared" ref="J22" si="7">SUM(J17:J20,J8:J12)</f>
        <v>19</v>
      </c>
      <c r="K22" s="120">
        <f>SUM(D22:J22)</f>
        <v>148.5</v>
      </c>
      <c r="L22" s="121">
        <f>SUM(L8:L21)</f>
        <v>250000</v>
      </c>
    </row>
    <row r="23" spans="2:22" x14ac:dyDescent="0.2">
      <c r="B23" s="168" t="s">
        <v>767</v>
      </c>
      <c r="C23" s="168"/>
      <c r="D23" s="168"/>
      <c r="E23" s="168"/>
      <c r="F23" s="168"/>
      <c r="G23" s="168"/>
      <c r="H23" s="168"/>
      <c r="I23" s="168"/>
      <c r="J23" s="168"/>
      <c r="K23" s="168"/>
      <c r="L23" s="168"/>
    </row>
    <row r="24" spans="2:22" x14ac:dyDescent="0.2">
      <c r="B24"/>
      <c r="C24"/>
      <c r="D24"/>
      <c r="E24"/>
      <c r="F24"/>
      <c r="G24"/>
      <c r="H24"/>
      <c r="I24"/>
      <c r="J24"/>
      <c r="K24"/>
      <c r="L24"/>
    </row>
    <row r="25" spans="2:22" x14ac:dyDescent="0.2">
      <c r="B25"/>
      <c r="C25"/>
      <c r="D25"/>
      <c r="E25"/>
      <c r="F25"/>
      <c r="G25"/>
      <c r="H25"/>
      <c r="I25"/>
      <c r="J25"/>
      <c r="K25"/>
      <c r="L25"/>
    </row>
    <row r="26" spans="2:22" ht="17" x14ac:dyDescent="0.2">
      <c r="B26" s="170" t="s">
        <v>768</v>
      </c>
      <c r="C26" s="170"/>
      <c r="D26" s="170"/>
      <c r="E26" s="170"/>
      <c r="F26" s="170"/>
      <c r="G26" s="170"/>
      <c r="H26" s="170"/>
      <c r="I26" s="170"/>
      <c r="J26" s="170"/>
      <c r="K26" s="170"/>
      <c r="L26" s="170"/>
    </row>
    <row r="27" spans="2:22" x14ac:dyDescent="0.2">
      <c r="B27" s="165" t="s">
        <v>769</v>
      </c>
      <c r="C27" s="165"/>
      <c r="D27" s="165"/>
      <c r="E27" s="165"/>
      <c r="F27" s="165"/>
      <c r="G27" s="165"/>
      <c r="H27" s="165"/>
      <c r="I27" s="165"/>
      <c r="J27" s="165"/>
      <c r="K27" s="165"/>
      <c r="L27" s="165"/>
    </row>
    <row r="28" spans="2:22" x14ac:dyDescent="0.2">
      <c r="B28" s="166" t="s">
        <v>1086</v>
      </c>
      <c r="C28" s="166"/>
      <c r="D28" s="166"/>
      <c r="E28" s="166"/>
      <c r="F28" s="166"/>
      <c r="G28" s="166"/>
      <c r="H28" s="166"/>
      <c r="I28" s="166"/>
      <c r="J28" s="166"/>
      <c r="K28" s="166"/>
      <c r="L28" s="166"/>
    </row>
    <row r="29" spans="2:22" ht="39" x14ac:dyDescent="0.2">
      <c r="B29" s="96" t="s">
        <v>760</v>
      </c>
      <c r="C29" s="96" t="s">
        <v>858</v>
      </c>
      <c r="D29" s="96" t="s">
        <v>846</v>
      </c>
      <c r="E29" s="96" t="s">
        <v>847</v>
      </c>
      <c r="F29" s="96" t="s">
        <v>848</v>
      </c>
      <c r="G29" s="96" t="s">
        <v>1141</v>
      </c>
      <c r="H29" s="96" t="s">
        <v>850</v>
      </c>
      <c r="I29" s="96" t="s">
        <v>851</v>
      </c>
      <c r="J29" s="96" t="s">
        <v>852</v>
      </c>
      <c r="K29" s="96" t="s">
        <v>761</v>
      </c>
      <c r="L29" s="96" t="s">
        <v>762</v>
      </c>
    </row>
    <row r="30" spans="2:22" x14ac:dyDescent="0.2">
      <c r="B30" s="97" t="s">
        <v>1097</v>
      </c>
      <c r="C30" s="98"/>
      <c r="D30" s="98"/>
      <c r="E30" s="98"/>
      <c r="F30" s="98"/>
      <c r="G30" s="98"/>
      <c r="H30" s="98"/>
      <c r="I30" s="98"/>
      <c r="J30" s="98"/>
      <c r="K30" s="98"/>
      <c r="L30" s="124">
        <f>SUM(L31:L34)</f>
        <v>190800</v>
      </c>
    </row>
    <row r="31" spans="2:22" x14ac:dyDescent="0.2">
      <c r="B31" s="87" t="s">
        <v>770</v>
      </c>
      <c r="C31" s="88">
        <f>ROUNDUP(MAX(D31:J31)/5,0)</f>
        <v>1</v>
      </c>
      <c r="D31" s="88">
        <v>5</v>
      </c>
      <c r="E31" s="88">
        <v>2</v>
      </c>
      <c r="F31" s="88">
        <v>2</v>
      </c>
      <c r="G31" s="88">
        <v>2</v>
      </c>
      <c r="H31" s="88">
        <v>2</v>
      </c>
      <c r="I31" s="88">
        <v>0</v>
      </c>
      <c r="J31" s="88">
        <v>0</v>
      </c>
      <c r="K31" s="88">
        <f>SUM(C31:J31)</f>
        <v>14</v>
      </c>
      <c r="L31" s="122">
        <f>SUM(D31,G31,H31,I31,J31)*'02_INPUTS'!$D$35</f>
        <v>18000</v>
      </c>
    </row>
    <row r="32" spans="2:22" x14ac:dyDescent="0.2">
      <c r="B32" s="89" t="s">
        <v>771</v>
      </c>
      <c r="C32" s="91">
        <f t="shared" ref="C32:C56" si="8">ROUNDUP(MAX(D32:J32)/5,0)</f>
        <v>1</v>
      </c>
      <c r="D32" s="91">
        <v>2</v>
      </c>
      <c r="E32" s="91">
        <v>1</v>
      </c>
      <c r="F32" s="91">
        <v>1</v>
      </c>
      <c r="G32" s="91">
        <v>1</v>
      </c>
      <c r="H32" s="91">
        <v>0</v>
      </c>
      <c r="I32" s="91">
        <v>0</v>
      </c>
      <c r="J32" s="91">
        <v>0</v>
      </c>
      <c r="K32" s="91">
        <f t="shared" ref="K32:K56" si="9">SUM(C32:J32)</f>
        <v>6</v>
      </c>
      <c r="L32" s="123">
        <f>SUM(D32,G32,H32,I32,J32)*'02_INPUTS'!$D$35</f>
        <v>6000</v>
      </c>
    </row>
    <row r="33" spans="2:14" x14ac:dyDescent="0.2">
      <c r="B33" s="89" t="s">
        <v>1088</v>
      </c>
      <c r="C33" s="91">
        <f t="shared" si="8"/>
        <v>2</v>
      </c>
      <c r="D33" s="91">
        <v>5</v>
      </c>
      <c r="E33" s="91">
        <v>0</v>
      </c>
      <c r="F33" s="91">
        <v>0</v>
      </c>
      <c r="G33" s="91">
        <v>10</v>
      </c>
      <c r="H33" s="91">
        <v>5</v>
      </c>
      <c r="I33" s="91">
        <v>10</v>
      </c>
      <c r="J33" s="91">
        <v>5</v>
      </c>
      <c r="K33" s="91">
        <f t="shared" si="9"/>
        <v>37</v>
      </c>
      <c r="L33" s="123">
        <f>SUM(D33,G33,H33,I33,J33)*'02_INPUTS'!$D$35</f>
        <v>70000</v>
      </c>
    </row>
    <row r="34" spans="2:14" ht="26" x14ac:dyDescent="0.2">
      <c r="B34" s="89" t="s">
        <v>1090</v>
      </c>
      <c r="C34" s="91">
        <f t="shared" si="8"/>
        <v>3</v>
      </c>
      <c r="D34" s="91">
        <f>SUM(D36:D55)*0.2</f>
        <v>8.6</v>
      </c>
      <c r="E34" s="91">
        <f t="shared" ref="E34:J34" si="10">SUM(E36:E55)*0.2</f>
        <v>9.8000000000000007</v>
      </c>
      <c r="F34" s="91">
        <f t="shared" si="10"/>
        <v>9.2000000000000011</v>
      </c>
      <c r="G34" s="91">
        <f t="shared" si="10"/>
        <v>13.600000000000001</v>
      </c>
      <c r="H34" s="91">
        <f t="shared" si="10"/>
        <v>10.200000000000001</v>
      </c>
      <c r="I34" s="91">
        <f t="shared" si="10"/>
        <v>9.4</v>
      </c>
      <c r="J34" s="91">
        <f t="shared" si="10"/>
        <v>6.6000000000000005</v>
      </c>
      <c r="K34" s="91">
        <f>SUM(D34:J34)</f>
        <v>67.400000000000006</v>
      </c>
      <c r="L34" s="123">
        <f>SUM(D34,G34,H34,I34,J34)*'02_INPUTS'!$D$35</f>
        <v>96800.000000000015</v>
      </c>
      <c r="N34" s="144"/>
    </row>
    <row r="35" spans="2:14" x14ac:dyDescent="0.2">
      <c r="B35" s="97" t="s">
        <v>1094</v>
      </c>
      <c r="C35" s="98">
        <f>ROUNDUP(MAX(D35:J35)/5,0)</f>
        <v>0</v>
      </c>
      <c r="D35" s="98">
        <v>0</v>
      </c>
      <c r="E35" s="98">
        <v>0</v>
      </c>
      <c r="F35" s="98">
        <v>0</v>
      </c>
      <c r="G35" s="98">
        <v>0</v>
      </c>
      <c r="H35" s="98">
        <v>0</v>
      </c>
      <c r="I35" s="98">
        <v>0</v>
      </c>
      <c r="J35" s="98"/>
      <c r="K35" s="98">
        <f>SUM(C35:J35)</f>
        <v>0</v>
      </c>
      <c r="L35" s="124">
        <f>SUM(L36:L41)</f>
        <v>118000</v>
      </c>
    </row>
    <row r="36" spans="2:14" x14ac:dyDescent="0.2">
      <c r="B36" s="93" t="s">
        <v>772</v>
      </c>
      <c r="C36" s="95">
        <f t="shared" si="8"/>
        <v>2</v>
      </c>
      <c r="D36" s="95">
        <v>1</v>
      </c>
      <c r="E36" s="95">
        <v>2</v>
      </c>
      <c r="F36" s="95">
        <v>6</v>
      </c>
      <c r="G36" s="95">
        <v>5</v>
      </c>
      <c r="H36" s="95">
        <v>2</v>
      </c>
      <c r="I36" s="95">
        <v>2</v>
      </c>
      <c r="J36" s="95">
        <v>0</v>
      </c>
      <c r="K36" s="95">
        <f t="shared" si="9"/>
        <v>20</v>
      </c>
      <c r="L36" s="125">
        <f>SUM(D36,G36,H36,I36,J36)*'02_INPUTS'!$D$35</f>
        <v>20000</v>
      </c>
    </row>
    <row r="37" spans="2:14" x14ac:dyDescent="0.2">
      <c r="B37" s="87" t="s">
        <v>773</v>
      </c>
      <c r="C37" s="88">
        <f t="shared" si="8"/>
        <v>1</v>
      </c>
      <c r="D37" s="88">
        <v>1</v>
      </c>
      <c r="E37" s="88">
        <v>2</v>
      </c>
      <c r="F37" s="88">
        <v>5</v>
      </c>
      <c r="G37" s="88">
        <v>5</v>
      </c>
      <c r="H37" s="88">
        <v>2</v>
      </c>
      <c r="I37" s="88">
        <v>2</v>
      </c>
      <c r="J37" s="88">
        <v>0</v>
      </c>
      <c r="K37" s="88">
        <f t="shared" si="9"/>
        <v>18</v>
      </c>
      <c r="L37" s="122">
        <f>SUM(D37,G37,H37,I37,J37)*'02_INPUTS'!$D$35</f>
        <v>20000</v>
      </c>
    </row>
    <row r="38" spans="2:14" x14ac:dyDescent="0.2">
      <c r="B38" s="93" t="s">
        <v>774</v>
      </c>
      <c r="C38" s="95">
        <f t="shared" si="8"/>
        <v>2</v>
      </c>
      <c r="D38" s="95">
        <v>1</v>
      </c>
      <c r="E38" s="95">
        <v>3</v>
      </c>
      <c r="F38" s="95">
        <v>8</v>
      </c>
      <c r="G38" s="95">
        <v>5</v>
      </c>
      <c r="H38" s="95">
        <v>2</v>
      </c>
      <c r="I38" s="95">
        <v>3</v>
      </c>
      <c r="J38" s="95">
        <v>0</v>
      </c>
      <c r="K38" s="95">
        <f t="shared" si="9"/>
        <v>24</v>
      </c>
      <c r="L38" s="125">
        <f>SUM(D38,G38,H38,I38,J38)*'02_INPUTS'!$D$35</f>
        <v>22000</v>
      </c>
    </row>
    <row r="39" spans="2:14" x14ac:dyDescent="0.2">
      <c r="B39" s="87" t="s">
        <v>775</v>
      </c>
      <c r="C39" s="88">
        <f t="shared" si="8"/>
        <v>2</v>
      </c>
      <c r="D39" s="88">
        <v>1</v>
      </c>
      <c r="E39" s="88">
        <v>2</v>
      </c>
      <c r="F39" s="88">
        <v>6</v>
      </c>
      <c r="G39" s="88">
        <v>5</v>
      </c>
      <c r="H39" s="88">
        <v>2</v>
      </c>
      <c r="I39" s="88">
        <v>2</v>
      </c>
      <c r="J39" s="88">
        <v>0</v>
      </c>
      <c r="K39" s="88">
        <f t="shared" si="9"/>
        <v>20</v>
      </c>
      <c r="L39" s="122">
        <f>SUM(D39,G39,H39,I39,J39)*'02_INPUTS'!$D$35</f>
        <v>20000</v>
      </c>
    </row>
    <row r="40" spans="2:14" x14ac:dyDescent="0.2">
      <c r="B40" s="93" t="s">
        <v>776</v>
      </c>
      <c r="C40" s="95">
        <f t="shared" si="8"/>
        <v>1</v>
      </c>
      <c r="D40" s="95">
        <v>1</v>
      </c>
      <c r="E40" s="95">
        <v>1</v>
      </c>
      <c r="F40" s="95">
        <v>3</v>
      </c>
      <c r="G40" s="95">
        <v>5</v>
      </c>
      <c r="H40" s="95">
        <v>2</v>
      </c>
      <c r="I40" s="95">
        <v>1</v>
      </c>
      <c r="J40" s="95">
        <v>0</v>
      </c>
      <c r="K40" s="95">
        <f t="shared" si="9"/>
        <v>14</v>
      </c>
      <c r="L40" s="125">
        <f>SUM(D40,G40,H40,I40,J40)*'02_INPUTS'!$D$35</f>
        <v>18000</v>
      </c>
    </row>
    <row r="41" spans="2:14" x14ac:dyDescent="0.2">
      <c r="B41" s="87" t="s">
        <v>777</v>
      </c>
      <c r="C41" s="88">
        <f t="shared" si="8"/>
        <v>1</v>
      </c>
      <c r="D41" s="88">
        <v>1</v>
      </c>
      <c r="E41" s="88">
        <v>1</v>
      </c>
      <c r="F41" s="88">
        <v>2</v>
      </c>
      <c r="G41" s="88">
        <v>5</v>
      </c>
      <c r="H41" s="88">
        <v>2</v>
      </c>
      <c r="I41" s="88">
        <v>1</v>
      </c>
      <c r="J41" s="88">
        <v>0</v>
      </c>
      <c r="K41" s="88">
        <f t="shared" si="9"/>
        <v>13</v>
      </c>
      <c r="L41" s="122">
        <f>SUM(D41,G41,H41,I41,J41)*'02_INPUTS'!$D$35</f>
        <v>18000</v>
      </c>
    </row>
    <row r="42" spans="2:14" x14ac:dyDescent="0.2">
      <c r="B42" s="97" t="s">
        <v>1095</v>
      </c>
      <c r="C42" s="98">
        <f t="shared" si="8"/>
        <v>0</v>
      </c>
      <c r="D42" s="98">
        <v>0</v>
      </c>
      <c r="E42" s="98">
        <v>0</v>
      </c>
      <c r="F42" s="98">
        <v>0</v>
      </c>
      <c r="G42" s="98">
        <v>0</v>
      </c>
      <c r="H42" s="98">
        <v>0</v>
      </c>
      <c r="I42" s="98">
        <v>0</v>
      </c>
      <c r="J42" s="98"/>
      <c r="K42" s="98">
        <f t="shared" si="9"/>
        <v>0</v>
      </c>
      <c r="L42" s="124">
        <f>SUM(L43:L50)</f>
        <v>242000</v>
      </c>
      <c r="N42" s="144"/>
    </row>
    <row r="43" spans="2:14" x14ac:dyDescent="0.2">
      <c r="B43" s="87" t="s">
        <v>763</v>
      </c>
      <c r="C43" s="88">
        <f t="shared" si="8"/>
        <v>1</v>
      </c>
      <c r="D43" s="88">
        <v>3</v>
      </c>
      <c r="E43" s="88">
        <v>3</v>
      </c>
      <c r="F43" s="88">
        <v>1</v>
      </c>
      <c r="G43" s="88">
        <v>2</v>
      </c>
      <c r="H43" s="88">
        <v>4</v>
      </c>
      <c r="I43" s="88">
        <v>3</v>
      </c>
      <c r="J43" s="88">
        <v>2</v>
      </c>
      <c r="K43" s="88">
        <f t="shared" si="9"/>
        <v>19</v>
      </c>
      <c r="L43" s="122">
        <f>SUM(D43,G43,H43,I43,J43)*'02_INPUTS'!$D$35</f>
        <v>28000</v>
      </c>
    </row>
    <row r="44" spans="2:14" x14ac:dyDescent="0.2">
      <c r="B44" s="87" t="s">
        <v>764</v>
      </c>
      <c r="C44" s="88">
        <f t="shared" ref="C44" si="11">ROUNDUP(MAX(D44:J44)/5,0)</f>
        <v>1</v>
      </c>
      <c r="D44" s="88">
        <v>3</v>
      </c>
      <c r="E44" s="88">
        <v>3</v>
      </c>
      <c r="F44" s="88">
        <v>1</v>
      </c>
      <c r="G44" s="88">
        <v>2</v>
      </c>
      <c r="H44" s="88">
        <v>4</v>
      </c>
      <c r="I44" s="88">
        <v>3</v>
      </c>
      <c r="J44" s="88">
        <v>2</v>
      </c>
      <c r="K44" s="88">
        <f t="shared" ref="K44" si="12">SUM(C44:J44)</f>
        <v>19</v>
      </c>
      <c r="L44" s="122">
        <f>SUM(D44,G44,H44,I44,J44)*'02_INPUTS'!$D$35</f>
        <v>28000</v>
      </c>
    </row>
    <row r="45" spans="2:14" x14ac:dyDescent="0.2">
      <c r="B45" s="87" t="s">
        <v>778</v>
      </c>
      <c r="C45" s="88">
        <f t="shared" ref="C45" si="13">ROUNDUP(MAX(D45:J45)/5,0)</f>
        <v>2</v>
      </c>
      <c r="D45" s="88">
        <v>6</v>
      </c>
      <c r="E45" s="88">
        <v>6</v>
      </c>
      <c r="F45" s="88">
        <v>2</v>
      </c>
      <c r="G45" s="88">
        <v>4</v>
      </c>
      <c r="H45" s="88">
        <v>4</v>
      </c>
      <c r="I45" s="88">
        <v>5</v>
      </c>
      <c r="J45" s="88">
        <v>2</v>
      </c>
      <c r="K45" s="88">
        <f t="shared" ref="K45" si="14">SUM(C45:J45)</f>
        <v>31</v>
      </c>
      <c r="L45" s="122">
        <f>SUM(D45,G45,H45,I45,J45)*'02_INPUTS'!$D$35</f>
        <v>42000</v>
      </c>
    </row>
    <row r="46" spans="2:14" x14ac:dyDescent="0.2">
      <c r="B46" s="93" t="s">
        <v>779</v>
      </c>
      <c r="C46" s="95">
        <f t="shared" si="8"/>
        <v>1</v>
      </c>
      <c r="D46" s="95">
        <v>4</v>
      </c>
      <c r="E46" s="95">
        <v>4</v>
      </c>
      <c r="F46" s="95">
        <v>1</v>
      </c>
      <c r="G46" s="95">
        <v>3</v>
      </c>
      <c r="H46" s="95">
        <v>4</v>
      </c>
      <c r="I46" s="95">
        <v>3</v>
      </c>
      <c r="J46" s="95">
        <v>2</v>
      </c>
      <c r="K46" s="95">
        <f t="shared" si="9"/>
        <v>22</v>
      </c>
      <c r="L46" s="125">
        <f>SUM(D46,G46,H46,I46,J46)*'02_INPUTS'!$D$35</f>
        <v>32000</v>
      </c>
    </row>
    <row r="47" spans="2:14" x14ac:dyDescent="0.2">
      <c r="B47" s="87" t="s">
        <v>780</v>
      </c>
      <c r="C47" s="88">
        <f t="shared" si="8"/>
        <v>1</v>
      </c>
      <c r="D47" s="88">
        <v>4</v>
      </c>
      <c r="E47" s="88">
        <v>4</v>
      </c>
      <c r="F47" s="88">
        <v>2</v>
      </c>
      <c r="G47" s="88">
        <v>2</v>
      </c>
      <c r="H47" s="88">
        <v>4</v>
      </c>
      <c r="I47" s="88">
        <v>3</v>
      </c>
      <c r="J47" s="88">
        <v>2</v>
      </c>
      <c r="K47" s="88">
        <f t="shared" si="9"/>
        <v>22</v>
      </c>
      <c r="L47" s="122">
        <f>SUM(D47,G47,H47,I47,J47)*'02_INPUTS'!$D$35</f>
        <v>30000</v>
      </c>
    </row>
    <row r="48" spans="2:14" x14ac:dyDescent="0.2">
      <c r="B48" s="93" t="s">
        <v>781</v>
      </c>
      <c r="C48" s="95">
        <f t="shared" si="8"/>
        <v>1</v>
      </c>
      <c r="D48" s="95">
        <v>3</v>
      </c>
      <c r="E48" s="95">
        <v>3</v>
      </c>
      <c r="F48" s="95">
        <v>2</v>
      </c>
      <c r="G48" s="95">
        <v>2</v>
      </c>
      <c r="H48" s="95">
        <v>4</v>
      </c>
      <c r="I48" s="95">
        <v>3</v>
      </c>
      <c r="J48" s="95">
        <v>2</v>
      </c>
      <c r="K48" s="95">
        <f t="shared" si="9"/>
        <v>20</v>
      </c>
      <c r="L48" s="125">
        <f>SUM(D48,G48,H48,I48,J48)*'02_INPUTS'!$D$35</f>
        <v>28000</v>
      </c>
    </row>
    <row r="49" spans="2:14" x14ac:dyDescent="0.2">
      <c r="B49" s="87" t="s">
        <v>782</v>
      </c>
      <c r="C49" s="88">
        <f t="shared" si="8"/>
        <v>1</v>
      </c>
      <c r="D49" s="88">
        <v>3</v>
      </c>
      <c r="E49" s="88">
        <v>3</v>
      </c>
      <c r="F49" s="88">
        <v>1</v>
      </c>
      <c r="G49" s="88">
        <v>3</v>
      </c>
      <c r="H49" s="88">
        <v>4</v>
      </c>
      <c r="I49" s="88">
        <v>2</v>
      </c>
      <c r="J49" s="88">
        <v>2</v>
      </c>
      <c r="K49" s="88">
        <f t="shared" si="9"/>
        <v>19</v>
      </c>
      <c r="L49" s="122">
        <f>SUM(D49,G49,H49,I49,J49)*'02_INPUTS'!$D$35</f>
        <v>28000</v>
      </c>
    </row>
    <row r="50" spans="2:14" x14ac:dyDescent="0.2">
      <c r="B50" s="93" t="s">
        <v>783</v>
      </c>
      <c r="C50" s="95">
        <f t="shared" si="8"/>
        <v>1</v>
      </c>
      <c r="D50" s="95">
        <v>2</v>
      </c>
      <c r="E50" s="95">
        <v>2</v>
      </c>
      <c r="F50" s="95">
        <v>1</v>
      </c>
      <c r="G50" s="95">
        <v>3</v>
      </c>
      <c r="H50" s="95">
        <v>4</v>
      </c>
      <c r="I50" s="95">
        <v>2</v>
      </c>
      <c r="J50" s="95">
        <v>2</v>
      </c>
      <c r="K50" s="95">
        <f t="shared" si="9"/>
        <v>17</v>
      </c>
      <c r="L50" s="125">
        <f>SUM(D50,G50,H50,I50,J50)*'02_INPUTS'!$D$35</f>
        <v>26000</v>
      </c>
      <c r="N50" s="144"/>
    </row>
    <row r="51" spans="2:14" x14ac:dyDescent="0.2">
      <c r="B51" s="97" t="s">
        <v>1096</v>
      </c>
      <c r="C51" s="98">
        <f t="shared" si="8"/>
        <v>0</v>
      </c>
      <c r="D51" s="98">
        <v>0</v>
      </c>
      <c r="E51" s="98">
        <v>0</v>
      </c>
      <c r="F51" s="98">
        <v>0</v>
      </c>
      <c r="G51" s="98">
        <v>0</v>
      </c>
      <c r="H51" s="98">
        <v>0</v>
      </c>
      <c r="I51" s="98">
        <v>0</v>
      </c>
      <c r="J51" s="98"/>
      <c r="K51" s="98">
        <f t="shared" si="9"/>
        <v>0</v>
      </c>
      <c r="L51" s="124">
        <f>SUM(L52:L57)</f>
        <v>234000</v>
      </c>
    </row>
    <row r="52" spans="2:14" x14ac:dyDescent="0.2">
      <c r="B52" s="93" t="s">
        <v>784</v>
      </c>
      <c r="C52" s="95">
        <f t="shared" si="8"/>
        <v>1</v>
      </c>
      <c r="D52" s="95">
        <v>3</v>
      </c>
      <c r="E52" s="95">
        <v>2</v>
      </c>
      <c r="F52" s="95">
        <v>1</v>
      </c>
      <c r="G52" s="95">
        <v>3</v>
      </c>
      <c r="H52" s="95">
        <v>1</v>
      </c>
      <c r="I52" s="95">
        <v>1</v>
      </c>
      <c r="J52" s="95">
        <v>0</v>
      </c>
      <c r="K52" s="95">
        <f t="shared" si="9"/>
        <v>12</v>
      </c>
      <c r="L52" s="125">
        <f>SUM(D52,G52,H52,I52,J52)*'02_INPUTS'!$D$35</f>
        <v>16000</v>
      </c>
    </row>
    <row r="53" spans="2:14" x14ac:dyDescent="0.2">
      <c r="B53" s="87" t="s">
        <v>785</v>
      </c>
      <c r="C53" s="88">
        <f t="shared" si="8"/>
        <v>2</v>
      </c>
      <c r="D53" s="88">
        <v>1</v>
      </c>
      <c r="E53" s="88">
        <v>5</v>
      </c>
      <c r="F53" s="88">
        <v>2</v>
      </c>
      <c r="G53" s="88">
        <v>4</v>
      </c>
      <c r="H53" s="88">
        <v>1</v>
      </c>
      <c r="I53" s="88">
        <v>6</v>
      </c>
      <c r="J53" s="88">
        <v>5</v>
      </c>
      <c r="K53" s="88">
        <f t="shared" si="9"/>
        <v>26</v>
      </c>
      <c r="L53" s="122">
        <f>SUM(D53,G53,H53,I53,J53)*'02_INPUTS'!$D$35</f>
        <v>34000</v>
      </c>
    </row>
    <row r="54" spans="2:14" x14ac:dyDescent="0.2">
      <c r="B54" s="87" t="s">
        <v>1142</v>
      </c>
      <c r="C54" s="88">
        <f t="shared" si="8"/>
        <v>2</v>
      </c>
      <c r="D54" s="88">
        <v>4</v>
      </c>
      <c r="E54" s="88">
        <v>2</v>
      </c>
      <c r="F54" s="88">
        <v>2</v>
      </c>
      <c r="G54" s="88">
        <v>6</v>
      </c>
      <c r="H54" s="88">
        <v>2</v>
      </c>
      <c r="I54" s="88">
        <v>2</v>
      </c>
      <c r="J54" s="88">
        <v>4</v>
      </c>
      <c r="K54" s="88">
        <f t="shared" si="9"/>
        <v>24</v>
      </c>
      <c r="L54" s="122">
        <f>SUM(D54,G54,H54,I54,J54)*'02_INPUTS'!$D$35</f>
        <v>36000</v>
      </c>
    </row>
    <row r="55" spans="2:14" x14ac:dyDescent="0.2">
      <c r="B55" s="93" t="s">
        <v>786</v>
      </c>
      <c r="C55" s="95">
        <f t="shared" si="8"/>
        <v>2</v>
      </c>
      <c r="D55" s="95">
        <v>1</v>
      </c>
      <c r="E55" s="95">
        <v>1</v>
      </c>
      <c r="F55" s="94">
        <v>0</v>
      </c>
      <c r="G55" s="95">
        <v>4</v>
      </c>
      <c r="H55" s="95">
        <v>3</v>
      </c>
      <c r="I55" s="95">
        <v>3</v>
      </c>
      <c r="J55" s="95">
        <v>8</v>
      </c>
      <c r="K55" s="95">
        <f t="shared" si="9"/>
        <v>22</v>
      </c>
      <c r="L55" s="125">
        <f>SUM(D55,G55,H55,I55,J55)*'02_INPUTS'!$D$35</f>
        <v>38000</v>
      </c>
    </row>
    <row r="56" spans="2:14" x14ac:dyDescent="0.2">
      <c r="B56" s="87" t="s">
        <v>787</v>
      </c>
      <c r="C56" s="88">
        <f t="shared" si="8"/>
        <v>2</v>
      </c>
      <c r="D56" s="88">
        <v>10</v>
      </c>
      <c r="E56" s="88">
        <v>10</v>
      </c>
      <c r="F56" s="88">
        <v>0</v>
      </c>
      <c r="G56" s="88">
        <v>2</v>
      </c>
      <c r="H56" s="88">
        <v>8</v>
      </c>
      <c r="I56" s="88">
        <v>0</v>
      </c>
      <c r="J56" s="88">
        <v>0</v>
      </c>
      <c r="K56" s="88">
        <f t="shared" si="9"/>
        <v>32</v>
      </c>
      <c r="L56" s="122">
        <f>SUM(D56,G56,H56,I56,J56)*'02_INPUTS'!$D$35</f>
        <v>40000</v>
      </c>
    </row>
    <row r="57" spans="2:14" x14ac:dyDescent="0.2">
      <c r="B57" s="89" t="s">
        <v>1071</v>
      </c>
      <c r="C57" s="186"/>
      <c r="D57" s="186"/>
      <c r="E57" s="186"/>
      <c r="F57" s="186"/>
      <c r="G57" s="186"/>
      <c r="H57" s="186"/>
      <c r="I57" s="186"/>
      <c r="J57" s="186"/>
      <c r="K57" s="186"/>
      <c r="L57" s="129">
        <v>70000</v>
      </c>
    </row>
    <row r="58" spans="2:14" x14ac:dyDescent="0.2">
      <c r="B58" s="167" t="s">
        <v>766</v>
      </c>
      <c r="C58" s="167"/>
      <c r="D58" s="99">
        <f t="shared" ref="D58:I58" si="15">SUM(D31:D56)</f>
        <v>73.599999999999994</v>
      </c>
      <c r="E58" s="99">
        <f t="shared" si="15"/>
        <v>71.8</v>
      </c>
      <c r="F58" s="99">
        <f t="shared" si="15"/>
        <v>58.2</v>
      </c>
      <c r="G58" s="99">
        <f t="shared" si="15"/>
        <v>96.6</v>
      </c>
      <c r="H58" s="99">
        <f t="shared" si="15"/>
        <v>76.2</v>
      </c>
      <c r="I58" s="99">
        <f t="shared" si="15"/>
        <v>66.400000000000006</v>
      </c>
      <c r="J58" s="99">
        <f>SUM(J31:J56)</f>
        <v>44.6</v>
      </c>
      <c r="K58" s="99">
        <f>SUM(K31:K56)</f>
        <v>518.4</v>
      </c>
      <c r="L58" s="100">
        <f>SUM(L31:L34,L36:L41,L43:L50,L52:L57)</f>
        <v>784800</v>
      </c>
      <c r="N58" s="144"/>
    </row>
    <row r="59" spans="2:14" x14ac:dyDescent="0.2">
      <c r="B59" s="168" t="s">
        <v>788</v>
      </c>
      <c r="C59" s="168"/>
      <c r="D59" s="168"/>
      <c r="E59" s="168"/>
      <c r="F59" s="168"/>
      <c r="G59" s="168"/>
      <c r="H59" s="168"/>
      <c r="I59" s="168"/>
      <c r="J59" s="168"/>
      <c r="K59" s="168"/>
      <c r="L59" s="168"/>
    </row>
    <row r="60" spans="2:14" x14ac:dyDescent="0.2">
      <c r="B60"/>
      <c r="C60"/>
      <c r="D60"/>
      <c r="E60"/>
      <c r="F60"/>
      <c r="G60"/>
      <c r="H60"/>
      <c r="I60"/>
      <c r="J60"/>
      <c r="K60"/>
      <c r="L60"/>
    </row>
    <row r="61" spans="2:14" x14ac:dyDescent="0.2">
      <c r="B61"/>
      <c r="C61"/>
      <c r="D61"/>
      <c r="E61"/>
      <c r="F61"/>
      <c r="G61"/>
      <c r="H61"/>
      <c r="I61"/>
      <c r="J61"/>
      <c r="K61"/>
      <c r="L61"/>
    </row>
    <row r="62" spans="2:14" x14ac:dyDescent="0.2">
      <c r="B62" s="169" t="s">
        <v>789</v>
      </c>
      <c r="C62" s="169"/>
      <c r="D62" s="169"/>
      <c r="E62" s="169"/>
      <c r="F62" s="169"/>
      <c r="G62" s="169"/>
      <c r="H62" s="169"/>
      <c r="I62" s="169"/>
      <c r="J62" s="169"/>
      <c r="K62" s="169"/>
      <c r="L62" s="169"/>
    </row>
    <row r="63" spans="2:14" x14ac:dyDescent="0.2">
      <c r="B63" s="101" t="s">
        <v>302</v>
      </c>
      <c r="C63" s="101" t="s">
        <v>790</v>
      </c>
      <c r="D63" s="134" t="s">
        <v>1078</v>
      </c>
      <c r="E63" s="160" t="s">
        <v>791</v>
      </c>
      <c r="F63" s="161"/>
      <c r="G63" s="161"/>
      <c r="H63" s="161"/>
      <c r="I63" s="161"/>
      <c r="J63" s="161"/>
      <c r="K63" s="161"/>
      <c r="L63" s="162"/>
    </row>
    <row r="64" spans="2:14" x14ac:dyDescent="0.2">
      <c r="B64" s="102" t="s">
        <v>792</v>
      </c>
      <c r="C64" s="103" t="s">
        <v>793</v>
      </c>
      <c r="D64" s="132">
        <v>0.85</v>
      </c>
      <c r="E64" s="158" t="s">
        <v>1064</v>
      </c>
      <c r="F64" s="159"/>
      <c r="G64" s="159"/>
      <c r="H64" s="159"/>
      <c r="I64" s="159"/>
      <c r="J64" s="159"/>
      <c r="K64" s="159"/>
      <c r="L64" s="159"/>
    </row>
    <row r="65" spans="2:25" x14ac:dyDescent="0.2">
      <c r="B65" s="104" t="s">
        <v>794</v>
      </c>
      <c r="C65" s="105" t="s">
        <v>795</v>
      </c>
      <c r="D65" s="133">
        <v>1</v>
      </c>
      <c r="E65" s="163" t="s">
        <v>796</v>
      </c>
      <c r="F65" s="164"/>
      <c r="G65" s="164"/>
      <c r="H65" s="164"/>
      <c r="I65" s="164"/>
      <c r="J65" s="164"/>
      <c r="K65" s="164"/>
      <c r="L65" s="164"/>
    </row>
    <row r="66" spans="2:25" x14ac:dyDescent="0.2">
      <c r="B66" s="106" t="s">
        <v>797</v>
      </c>
      <c r="C66" s="103" t="s">
        <v>798</v>
      </c>
      <c r="D66" s="132">
        <v>1.1499999999999999</v>
      </c>
      <c r="E66" s="158" t="s">
        <v>1065</v>
      </c>
      <c r="F66" s="159"/>
      <c r="G66" s="159"/>
      <c r="H66" s="159"/>
      <c r="I66" s="159"/>
      <c r="J66" s="159"/>
      <c r="K66" s="159"/>
      <c r="L66" s="159"/>
    </row>
    <row r="67" spans="2:25" x14ac:dyDescent="0.2">
      <c r="B67" s="107" t="s">
        <v>799</v>
      </c>
      <c r="C67" s="105" t="s">
        <v>800</v>
      </c>
      <c r="D67" s="133">
        <v>1.2</v>
      </c>
      <c r="E67" s="163" t="s">
        <v>801</v>
      </c>
      <c r="F67" s="164"/>
      <c r="G67" s="164"/>
      <c r="H67" s="164"/>
      <c r="I67" s="164"/>
      <c r="J67" s="164"/>
      <c r="K67" s="164"/>
      <c r="L67" s="164"/>
    </row>
    <row r="68" spans="2:25" x14ac:dyDescent="0.2">
      <c r="B68" s="108" t="s">
        <v>1144</v>
      </c>
      <c r="C68" s="103" t="s">
        <v>802</v>
      </c>
      <c r="D68" s="132">
        <v>1.1000000000000001</v>
      </c>
      <c r="E68" s="158" t="s">
        <v>803</v>
      </c>
      <c r="F68" s="159"/>
      <c r="G68" s="159"/>
      <c r="H68" s="159"/>
      <c r="I68" s="159"/>
      <c r="J68" s="159"/>
      <c r="K68" s="159"/>
      <c r="L68" s="159"/>
    </row>
    <row r="72" spans="2:25" ht="16" x14ac:dyDescent="0.2">
      <c r="P72" s="118" t="s">
        <v>853</v>
      </c>
      <c r="Q72" s="118" t="s">
        <v>854</v>
      </c>
      <c r="R72" s="118" t="s">
        <v>855</v>
      </c>
      <c r="S72" s="118" t="s">
        <v>856</v>
      </c>
      <c r="T72" s="118" t="s">
        <v>857</v>
      </c>
      <c r="U72" s="118" t="s">
        <v>858</v>
      </c>
      <c r="V72" s="118" t="s">
        <v>859</v>
      </c>
      <c r="W72" s="118" t="s">
        <v>860</v>
      </c>
      <c r="X72" s="118" t="s">
        <v>861</v>
      </c>
      <c r="Y72" s="118" t="s">
        <v>862</v>
      </c>
    </row>
    <row r="73" spans="2:25" ht="16" x14ac:dyDescent="0.2">
      <c r="P73" s="86" t="s">
        <v>1052</v>
      </c>
      <c r="Q73" s="117" t="s">
        <v>1053</v>
      </c>
      <c r="R73" s="86" t="s">
        <v>846</v>
      </c>
      <c r="S73" s="86" t="s">
        <v>1055</v>
      </c>
      <c r="T73" s="86">
        <v>5</v>
      </c>
      <c r="U73" s="86" t="s">
        <v>1056</v>
      </c>
      <c r="V73" s="86" t="s">
        <v>1057</v>
      </c>
      <c r="W73" s="86" t="s">
        <v>1057</v>
      </c>
      <c r="X73" s="86" t="s">
        <v>1059</v>
      </c>
      <c r="Y73" s="86" t="s">
        <v>1062</v>
      </c>
    </row>
    <row r="74" spans="2:25" ht="32" x14ac:dyDescent="0.2">
      <c r="P74" s="117" t="s">
        <v>1052</v>
      </c>
      <c r="Q74" s="117" t="s">
        <v>1053</v>
      </c>
      <c r="R74" s="117" t="s">
        <v>847</v>
      </c>
      <c r="S74" s="117" t="s">
        <v>1054</v>
      </c>
      <c r="T74" s="117">
        <v>1</v>
      </c>
      <c r="U74" s="117" t="s">
        <v>1056</v>
      </c>
      <c r="V74" s="86" t="s">
        <v>1057</v>
      </c>
      <c r="W74" s="86" t="s">
        <v>1057</v>
      </c>
      <c r="X74" s="117" t="s">
        <v>1060</v>
      </c>
      <c r="Y74" s="117"/>
    </row>
    <row r="75" spans="2:25" ht="16" x14ac:dyDescent="0.2">
      <c r="P75" s="117" t="s">
        <v>1052</v>
      </c>
      <c r="Q75" s="117" t="s">
        <v>1053</v>
      </c>
      <c r="R75" s="117" t="s">
        <v>848</v>
      </c>
      <c r="S75" s="117" t="s">
        <v>881</v>
      </c>
      <c r="T75" s="117">
        <v>1</v>
      </c>
      <c r="U75" s="117" t="s">
        <v>1056</v>
      </c>
      <c r="V75" s="117" t="s">
        <v>1058</v>
      </c>
      <c r="W75" s="117" t="s">
        <v>1058</v>
      </c>
      <c r="X75" s="117" t="s">
        <v>1061</v>
      </c>
      <c r="Y75" s="117"/>
    </row>
    <row r="76" spans="2:25" ht="64" x14ac:dyDescent="0.2">
      <c r="P76" s="117" t="s">
        <v>863</v>
      </c>
      <c r="Q76" s="117" t="s">
        <v>864</v>
      </c>
      <c r="R76" s="117" t="s">
        <v>850</v>
      </c>
      <c r="S76" s="117" t="s">
        <v>865</v>
      </c>
      <c r="T76" s="117">
        <v>0.5</v>
      </c>
      <c r="U76" s="117" t="s">
        <v>866</v>
      </c>
      <c r="V76" s="117" t="s">
        <v>867</v>
      </c>
      <c r="W76" s="117" t="s">
        <v>868</v>
      </c>
      <c r="X76" s="117" t="s">
        <v>869</v>
      </c>
      <c r="Y76" s="117" t="s">
        <v>870</v>
      </c>
    </row>
    <row r="77" spans="2:25" ht="48" x14ac:dyDescent="0.2">
      <c r="P77" s="117" t="s">
        <v>863</v>
      </c>
      <c r="Q77" s="117" t="s">
        <v>864</v>
      </c>
      <c r="R77" s="117" t="s">
        <v>850</v>
      </c>
      <c r="S77" s="117" t="s">
        <v>865</v>
      </c>
      <c r="T77" s="117">
        <v>0</v>
      </c>
      <c r="U77" s="117" t="s">
        <v>871</v>
      </c>
      <c r="V77" s="117" t="s">
        <v>867</v>
      </c>
      <c r="W77" s="117" t="s">
        <v>872</v>
      </c>
      <c r="X77" s="117" t="s">
        <v>873</v>
      </c>
      <c r="Y77" s="117" t="s">
        <v>874</v>
      </c>
    </row>
    <row r="78" spans="2:25" ht="48" x14ac:dyDescent="0.2">
      <c r="P78" s="117" t="s">
        <v>863</v>
      </c>
      <c r="Q78" s="117" t="s">
        <v>864</v>
      </c>
      <c r="R78" s="117" t="s">
        <v>852</v>
      </c>
      <c r="S78" s="117" t="s">
        <v>865</v>
      </c>
      <c r="T78" s="117">
        <v>3</v>
      </c>
      <c r="U78" s="117" t="s">
        <v>866</v>
      </c>
      <c r="V78" s="117" t="s">
        <v>867</v>
      </c>
      <c r="W78" s="117" t="s">
        <v>875</v>
      </c>
      <c r="X78" s="117" t="s">
        <v>876</v>
      </c>
      <c r="Y78" s="117" t="s">
        <v>877</v>
      </c>
    </row>
    <row r="79" spans="2:25" ht="64" x14ac:dyDescent="0.2">
      <c r="P79" s="117" t="s">
        <v>863</v>
      </c>
      <c r="Q79" s="117" t="s">
        <v>864</v>
      </c>
      <c r="R79" s="117" t="s">
        <v>851</v>
      </c>
      <c r="S79" s="117" t="s">
        <v>865</v>
      </c>
      <c r="T79" s="117">
        <v>0.5</v>
      </c>
      <c r="U79" s="117" t="s">
        <v>866</v>
      </c>
      <c r="V79" s="117" t="s">
        <v>867</v>
      </c>
      <c r="W79" s="117" t="s">
        <v>878</v>
      </c>
      <c r="X79" s="117" t="s">
        <v>879</v>
      </c>
      <c r="Y79" s="117" t="s">
        <v>880</v>
      </c>
    </row>
    <row r="80" spans="2:25" ht="64" x14ac:dyDescent="0.2">
      <c r="P80" s="117" t="s">
        <v>863</v>
      </c>
      <c r="Q80" s="117" t="s">
        <v>864</v>
      </c>
      <c r="R80" s="117" t="s">
        <v>847</v>
      </c>
      <c r="S80" s="117" t="s">
        <v>881</v>
      </c>
      <c r="T80" s="117">
        <v>4</v>
      </c>
      <c r="U80" s="117" t="s">
        <v>866</v>
      </c>
      <c r="V80" s="117" t="s">
        <v>867</v>
      </c>
      <c r="W80" s="117" t="s">
        <v>882</v>
      </c>
      <c r="X80" s="117" t="s">
        <v>883</v>
      </c>
      <c r="Y80" s="117" t="s">
        <v>884</v>
      </c>
    </row>
    <row r="81" spans="16:25" ht="64" x14ac:dyDescent="0.2">
      <c r="P81" s="117" t="s">
        <v>863</v>
      </c>
      <c r="Q81" s="117" t="s">
        <v>864</v>
      </c>
      <c r="R81" s="117" t="s">
        <v>848</v>
      </c>
      <c r="S81" s="117" t="s">
        <v>881</v>
      </c>
      <c r="T81" s="117">
        <v>10</v>
      </c>
      <c r="U81" s="117" t="s">
        <v>866</v>
      </c>
      <c r="V81" s="117" t="s">
        <v>867</v>
      </c>
      <c r="W81" s="117" t="s">
        <v>885</v>
      </c>
      <c r="X81" s="117" t="s">
        <v>886</v>
      </c>
      <c r="Y81" s="117" t="s">
        <v>887</v>
      </c>
    </row>
    <row r="82" spans="16:25" ht="64" x14ac:dyDescent="0.2">
      <c r="P82" s="117" t="s">
        <v>863</v>
      </c>
      <c r="Q82" s="117" t="s">
        <v>864</v>
      </c>
      <c r="R82" s="117" t="s">
        <v>846</v>
      </c>
      <c r="S82" s="117" t="s">
        <v>865</v>
      </c>
      <c r="T82" s="117">
        <v>2</v>
      </c>
      <c r="U82" s="117" t="s">
        <v>866</v>
      </c>
      <c r="V82" s="117" t="s">
        <v>867</v>
      </c>
      <c r="W82" s="117" t="s">
        <v>888</v>
      </c>
      <c r="X82" s="117" t="s">
        <v>889</v>
      </c>
      <c r="Y82" s="117" t="s">
        <v>890</v>
      </c>
    </row>
    <row r="83" spans="16:25" ht="48" x14ac:dyDescent="0.2">
      <c r="P83" s="117" t="s">
        <v>863</v>
      </c>
      <c r="Q83" s="117" t="s">
        <v>864</v>
      </c>
      <c r="R83" s="117" t="s">
        <v>852</v>
      </c>
      <c r="S83" s="117" t="s">
        <v>865</v>
      </c>
      <c r="T83" s="117">
        <v>2</v>
      </c>
      <c r="U83" s="117" t="s">
        <v>866</v>
      </c>
      <c r="V83" s="117" t="s">
        <v>867</v>
      </c>
      <c r="W83" s="117" t="s">
        <v>891</v>
      </c>
      <c r="X83" s="117" t="s">
        <v>892</v>
      </c>
      <c r="Y83" s="117" t="s">
        <v>893</v>
      </c>
    </row>
    <row r="84" spans="16:25" ht="48" x14ac:dyDescent="0.2">
      <c r="P84" s="117" t="s">
        <v>863</v>
      </c>
      <c r="Q84" s="117" t="s">
        <v>864</v>
      </c>
      <c r="R84" s="117" t="s">
        <v>849</v>
      </c>
      <c r="S84" s="117" t="s">
        <v>865</v>
      </c>
      <c r="T84" s="117">
        <v>1</v>
      </c>
      <c r="U84" s="117" t="s">
        <v>866</v>
      </c>
      <c r="V84" s="117" t="s">
        <v>867</v>
      </c>
      <c r="W84" s="117" t="s">
        <v>894</v>
      </c>
      <c r="X84" s="117" t="s">
        <v>895</v>
      </c>
      <c r="Y84" s="117" t="s">
        <v>896</v>
      </c>
    </row>
    <row r="85" spans="16:25" ht="48" x14ac:dyDescent="0.2">
      <c r="P85" s="117" t="s">
        <v>897</v>
      </c>
      <c r="Q85" s="117" t="s">
        <v>898</v>
      </c>
      <c r="R85" s="117" t="s">
        <v>850</v>
      </c>
      <c r="S85" s="117" t="s">
        <v>865</v>
      </c>
      <c r="T85" s="117">
        <v>3</v>
      </c>
      <c r="U85" s="117" t="s">
        <v>899</v>
      </c>
      <c r="V85" s="117" t="s">
        <v>900</v>
      </c>
      <c r="W85" s="117" t="s">
        <v>901</v>
      </c>
      <c r="X85" s="117" t="s">
        <v>902</v>
      </c>
      <c r="Y85" s="117" t="s">
        <v>903</v>
      </c>
    </row>
    <row r="86" spans="16:25" ht="48" x14ac:dyDescent="0.2">
      <c r="P86" s="117" t="s">
        <v>897</v>
      </c>
      <c r="Q86" s="117" t="s">
        <v>898</v>
      </c>
      <c r="R86" s="117" t="s">
        <v>850</v>
      </c>
      <c r="S86" s="117" t="s">
        <v>865</v>
      </c>
      <c r="T86" s="117">
        <v>0.5</v>
      </c>
      <c r="U86" s="117" t="s">
        <v>899</v>
      </c>
      <c r="V86" s="117" t="s">
        <v>900</v>
      </c>
      <c r="W86" s="117" t="s">
        <v>904</v>
      </c>
      <c r="X86" s="117" t="s">
        <v>905</v>
      </c>
      <c r="Y86" s="117" t="s">
        <v>906</v>
      </c>
    </row>
    <row r="87" spans="16:25" ht="48" x14ac:dyDescent="0.2">
      <c r="P87" s="117" t="s">
        <v>897</v>
      </c>
      <c r="Q87" s="117" t="s">
        <v>898</v>
      </c>
      <c r="R87" s="117" t="s">
        <v>852</v>
      </c>
      <c r="S87" s="117" t="s">
        <v>865</v>
      </c>
      <c r="T87" s="117">
        <v>1</v>
      </c>
      <c r="U87" s="117" t="s">
        <v>899</v>
      </c>
      <c r="V87" s="117" t="s">
        <v>900</v>
      </c>
      <c r="W87" s="117" t="s">
        <v>907</v>
      </c>
      <c r="X87" s="117" t="s">
        <v>908</v>
      </c>
      <c r="Y87" s="117" t="s">
        <v>909</v>
      </c>
    </row>
    <row r="88" spans="16:25" ht="48" x14ac:dyDescent="0.2">
      <c r="P88" s="117" t="s">
        <v>897</v>
      </c>
      <c r="Q88" s="117" t="s">
        <v>898</v>
      </c>
      <c r="R88" s="117" t="s">
        <v>851</v>
      </c>
      <c r="S88" s="117" t="s">
        <v>865</v>
      </c>
      <c r="T88" s="117">
        <v>3</v>
      </c>
      <c r="U88" s="117" t="s">
        <v>899</v>
      </c>
      <c r="V88" s="117" t="s">
        <v>900</v>
      </c>
      <c r="W88" s="117" t="s">
        <v>910</v>
      </c>
      <c r="X88" s="117" t="s">
        <v>911</v>
      </c>
      <c r="Y88" s="117" t="s">
        <v>912</v>
      </c>
    </row>
    <row r="89" spans="16:25" ht="48" x14ac:dyDescent="0.2">
      <c r="P89" s="117" t="s">
        <v>897</v>
      </c>
      <c r="Q89" s="117" t="s">
        <v>898</v>
      </c>
      <c r="R89" s="117" t="s">
        <v>847</v>
      </c>
      <c r="S89" s="117" t="s">
        <v>881</v>
      </c>
      <c r="T89" s="117">
        <v>2</v>
      </c>
      <c r="U89" s="117" t="s">
        <v>899</v>
      </c>
      <c r="V89" s="117" t="s">
        <v>900</v>
      </c>
      <c r="W89" s="117" t="s">
        <v>913</v>
      </c>
      <c r="X89" s="117" t="s">
        <v>914</v>
      </c>
      <c r="Y89" s="117" t="s">
        <v>915</v>
      </c>
    </row>
    <row r="90" spans="16:25" ht="48" x14ac:dyDescent="0.2">
      <c r="P90" s="117" t="s">
        <v>897</v>
      </c>
      <c r="Q90" s="117" t="s">
        <v>898</v>
      </c>
      <c r="R90" s="117" t="s">
        <v>848</v>
      </c>
      <c r="S90" s="117" t="s">
        <v>881</v>
      </c>
      <c r="T90" s="117">
        <v>2</v>
      </c>
      <c r="U90" s="117" t="s">
        <v>899</v>
      </c>
      <c r="V90" s="117" t="s">
        <v>900</v>
      </c>
      <c r="W90" s="117" t="s">
        <v>916</v>
      </c>
      <c r="X90" s="117" t="s">
        <v>917</v>
      </c>
      <c r="Y90" s="117" t="s">
        <v>918</v>
      </c>
    </row>
    <row r="91" spans="16:25" ht="48" x14ac:dyDescent="0.2">
      <c r="P91" s="117" t="s">
        <v>897</v>
      </c>
      <c r="Q91" s="117" t="s">
        <v>898</v>
      </c>
      <c r="R91" s="117" t="s">
        <v>846</v>
      </c>
      <c r="S91" s="117" t="s">
        <v>865</v>
      </c>
      <c r="T91" s="117">
        <v>1</v>
      </c>
      <c r="U91" s="117" t="s">
        <v>899</v>
      </c>
      <c r="V91" s="117" t="s">
        <v>900</v>
      </c>
      <c r="W91" s="117" t="s">
        <v>919</v>
      </c>
      <c r="X91" s="117" t="s">
        <v>920</v>
      </c>
      <c r="Y91" s="117" t="s">
        <v>921</v>
      </c>
    </row>
    <row r="92" spans="16:25" ht="48" x14ac:dyDescent="0.2">
      <c r="P92" s="117" t="s">
        <v>897</v>
      </c>
      <c r="Q92" s="117" t="s">
        <v>898</v>
      </c>
      <c r="R92" s="117" t="s">
        <v>852</v>
      </c>
      <c r="S92" s="117" t="s">
        <v>865</v>
      </c>
      <c r="T92" s="117">
        <v>0.5</v>
      </c>
      <c r="U92" s="117" t="s">
        <v>899</v>
      </c>
      <c r="V92" s="117" t="s">
        <v>900</v>
      </c>
      <c r="W92" s="117" t="s">
        <v>922</v>
      </c>
      <c r="X92" s="117" t="s">
        <v>923</v>
      </c>
      <c r="Y92" s="117" t="s">
        <v>924</v>
      </c>
    </row>
    <row r="93" spans="16:25" ht="48" x14ac:dyDescent="0.2">
      <c r="P93" s="117" t="s">
        <v>897</v>
      </c>
      <c r="Q93" s="117" t="s">
        <v>898</v>
      </c>
      <c r="R93" s="117" t="s">
        <v>849</v>
      </c>
      <c r="S93" s="117" t="s">
        <v>865</v>
      </c>
      <c r="T93" s="117">
        <v>3</v>
      </c>
      <c r="U93" s="117" t="s">
        <v>899</v>
      </c>
      <c r="V93" s="117" t="s">
        <v>900</v>
      </c>
      <c r="W93" s="117" t="s">
        <v>925</v>
      </c>
      <c r="X93" s="117" t="s">
        <v>926</v>
      </c>
      <c r="Y93" s="117" t="s">
        <v>927</v>
      </c>
    </row>
    <row r="94" spans="16:25" ht="48" x14ac:dyDescent="0.2">
      <c r="P94" s="117" t="s">
        <v>928</v>
      </c>
      <c r="Q94" s="117" t="s">
        <v>929</v>
      </c>
      <c r="R94" s="117" t="s">
        <v>850</v>
      </c>
      <c r="S94" s="117" t="s">
        <v>865</v>
      </c>
      <c r="T94" s="117">
        <v>2</v>
      </c>
      <c r="U94" s="117" t="s">
        <v>930</v>
      </c>
      <c r="V94" s="117" t="s">
        <v>931</v>
      </c>
      <c r="W94" s="117" t="s">
        <v>932</v>
      </c>
      <c r="X94" s="117" t="s">
        <v>933</v>
      </c>
      <c r="Y94" s="117" t="s">
        <v>934</v>
      </c>
    </row>
    <row r="95" spans="16:25" ht="48" x14ac:dyDescent="0.2">
      <c r="P95" s="117" t="s">
        <v>928</v>
      </c>
      <c r="Q95" s="117" t="s">
        <v>929</v>
      </c>
      <c r="R95" s="117" t="s">
        <v>850</v>
      </c>
      <c r="S95" s="117" t="s">
        <v>865</v>
      </c>
      <c r="T95" s="117">
        <v>4.5</v>
      </c>
      <c r="U95" s="117" t="s">
        <v>930</v>
      </c>
      <c r="V95" s="117" t="s">
        <v>931</v>
      </c>
      <c r="W95" s="117" t="s">
        <v>935</v>
      </c>
      <c r="X95" s="117" t="s">
        <v>936</v>
      </c>
      <c r="Y95" s="117" t="s">
        <v>937</v>
      </c>
    </row>
    <row r="96" spans="16:25" ht="48" x14ac:dyDescent="0.2">
      <c r="P96" s="117" t="s">
        <v>928</v>
      </c>
      <c r="Q96" s="117" t="s">
        <v>929</v>
      </c>
      <c r="R96" s="117" t="s">
        <v>852</v>
      </c>
      <c r="S96" s="117" t="s">
        <v>865</v>
      </c>
      <c r="T96" s="117">
        <v>0.5</v>
      </c>
      <c r="U96" s="117" t="s">
        <v>930</v>
      </c>
      <c r="V96" s="117" t="s">
        <v>931</v>
      </c>
      <c r="W96" s="117" t="s">
        <v>938</v>
      </c>
      <c r="X96" s="117" t="s">
        <v>939</v>
      </c>
      <c r="Y96" s="117" t="s">
        <v>940</v>
      </c>
    </row>
    <row r="97" spans="16:25" ht="48" x14ac:dyDescent="0.2">
      <c r="P97" s="117" t="s">
        <v>928</v>
      </c>
      <c r="Q97" s="117" t="s">
        <v>929</v>
      </c>
      <c r="R97" s="117" t="s">
        <v>851</v>
      </c>
      <c r="S97" s="117" t="s">
        <v>865</v>
      </c>
      <c r="T97" s="117">
        <v>1.5</v>
      </c>
      <c r="U97" s="117" t="s">
        <v>930</v>
      </c>
      <c r="V97" s="117" t="s">
        <v>931</v>
      </c>
      <c r="W97" s="117" t="s">
        <v>941</v>
      </c>
      <c r="X97" s="117" t="s">
        <v>942</v>
      </c>
      <c r="Y97" s="117" t="s">
        <v>943</v>
      </c>
    </row>
    <row r="98" spans="16:25" ht="48" x14ac:dyDescent="0.2">
      <c r="P98" s="117" t="s">
        <v>928</v>
      </c>
      <c r="Q98" s="117" t="s">
        <v>929</v>
      </c>
      <c r="R98" s="117" t="s">
        <v>847</v>
      </c>
      <c r="S98" s="117" t="s">
        <v>881</v>
      </c>
      <c r="T98" s="117">
        <v>0.5</v>
      </c>
      <c r="U98" s="117" t="s">
        <v>930</v>
      </c>
      <c r="V98" s="117" t="s">
        <v>931</v>
      </c>
      <c r="W98" s="117" t="s">
        <v>944</v>
      </c>
      <c r="X98" s="117" t="s">
        <v>945</v>
      </c>
      <c r="Y98" s="117" t="s">
        <v>946</v>
      </c>
    </row>
    <row r="99" spans="16:25" ht="48" x14ac:dyDescent="0.2">
      <c r="P99" s="117" t="s">
        <v>928</v>
      </c>
      <c r="Q99" s="117" t="s">
        <v>929</v>
      </c>
      <c r="R99" s="117" t="s">
        <v>848</v>
      </c>
      <c r="S99" s="117" t="s">
        <v>881</v>
      </c>
      <c r="T99" s="117">
        <v>0.5</v>
      </c>
      <c r="U99" s="117" t="s">
        <v>930</v>
      </c>
      <c r="V99" s="117" t="s">
        <v>931</v>
      </c>
      <c r="W99" s="117" t="s">
        <v>947</v>
      </c>
      <c r="X99" s="117" t="s">
        <v>948</v>
      </c>
      <c r="Y99" s="117" t="s">
        <v>949</v>
      </c>
    </row>
    <row r="100" spans="16:25" ht="48" x14ac:dyDescent="0.2">
      <c r="P100" s="117" t="s">
        <v>928</v>
      </c>
      <c r="Q100" s="117" t="s">
        <v>929</v>
      </c>
      <c r="R100" s="117" t="s">
        <v>846</v>
      </c>
      <c r="S100" s="117" t="s">
        <v>865</v>
      </c>
      <c r="T100" s="117">
        <v>0.5</v>
      </c>
      <c r="U100" s="117" t="s">
        <v>930</v>
      </c>
      <c r="V100" s="117" t="s">
        <v>931</v>
      </c>
      <c r="W100" s="117" t="s">
        <v>950</v>
      </c>
      <c r="X100" s="117" t="s">
        <v>951</v>
      </c>
      <c r="Y100" s="117" t="s">
        <v>952</v>
      </c>
    </row>
    <row r="101" spans="16:25" ht="32" x14ac:dyDescent="0.2">
      <c r="P101" s="117" t="s">
        <v>928</v>
      </c>
      <c r="Q101" s="117" t="s">
        <v>929</v>
      </c>
      <c r="R101" s="117" t="s">
        <v>852</v>
      </c>
      <c r="S101" s="117" t="s">
        <v>865</v>
      </c>
      <c r="T101" s="117">
        <v>1</v>
      </c>
      <c r="U101" s="117" t="s">
        <v>930</v>
      </c>
      <c r="V101" s="117" t="s">
        <v>931</v>
      </c>
      <c r="W101" s="117" t="s">
        <v>953</v>
      </c>
      <c r="X101" s="117" t="s">
        <v>954</v>
      </c>
      <c r="Y101" s="117" t="s">
        <v>955</v>
      </c>
    </row>
    <row r="102" spans="16:25" ht="48" x14ac:dyDescent="0.2">
      <c r="P102" s="117" t="s">
        <v>928</v>
      </c>
      <c r="Q102" s="117" t="s">
        <v>929</v>
      </c>
      <c r="R102" s="117" t="s">
        <v>849</v>
      </c>
      <c r="S102" s="117" t="s">
        <v>865</v>
      </c>
      <c r="T102" s="117">
        <v>2</v>
      </c>
      <c r="U102" s="117" t="s">
        <v>930</v>
      </c>
      <c r="V102" s="117" t="s">
        <v>931</v>
      </c>
      <c r="W102" s="117" t="s">
        <v>956</v>
      </c>
      <c r="X102" s="117" t="s">
        <v>957</v>
      </c>
      <c r="Y102" s="117" t="s">
        <v>958</v>
      </c>
    </row>
    <row r="103" spans="16:25" ht="48" x14ac:dyDescent="0.2">
      <c r="P103" s="117" t="s">
        <v>959</v>
      </c>
      <c r="Q103" s="117" t="s">
        <v>960</v>
      </c>
      <c r="R103" s="117" t="s">
        <v>850</v>
      </c>
      <c r="S103" s="117" t="s">
        <v>865</v>
      </c>
      <c r="T103" s="117">
        <v>12</v>
      </c>
      <c r="U103" s="117" t="s">
        <v>961</v>
      </c>
      <c r="V103" s="117" t="s">
        <v>962</v>
      </c>
      <c r="W103" s="117" t="s">
        <v>963</v>
      </c>
      <c r="X103" s="117" t="s">
        <v>964</v>
      </c>
      <c r="Y103" s="117" t="s">
        <v>965</v>
      </c>
    </row>
    <row r="104" spans="16:25" ht="48" x14ac:dyDescent="0.2">
      <c r="P104" s="117" t="s">
        <v>959</v>
      </c>
      <c r="Q104" s="117" t="s">
        <v>960</v>
      </c>
      <c r="R104" s="117" t="s">
        <v>850</v>
      </c>
      <c r="S104" s="117" t="s">
        <v>865</v>
      </c>
      <c r="T104" s="117">
        <v>4.5</v>
      </c>
      <c r="U104" s="117" t="s">
        <v>961</v>
      </c>
      <c r="V104" s="117" t="s">
        <v>962</v>
      </c>
      <c r="W104" s="117" t="s">
        <v>966</v>
      </c>
      <c r="X104" s="117" t="s">
        <v>967</v>
      </c>
      <c r="Y104" s="117" t="s">
        <v>968</v>
      </c>
    </row>
    <row r="105" spans="16:25" ht="48" x14ac:dyDescent="0.2">
      <c r="P105" s="117" t="s">
        <v>959</v>
      </c>
      <c r="Q105" s="117" t="s">
        <v>960</v>
      </c>
      <c r="R105" s="117" t="s">
        <v>852</v>
      </c>
      <c r="S105" s="117" t="s">
        <v>865</v>
      </c>
      <c r="T105" s="117">
        <v>3</v>
      </c>
      <c r="U105" s="117" t="s">
        <v>961</v>
      </c>
      <c r="V105" s="117" t="s">
        <v>962</v>
      </c>
      <c r="W105" s="117" t="s">
        <v>969</v>
      </c>
      <c r="X105" s="117" t="s">
        <v>970</v>
      </c>
      <c r="Y105" s="117" t="s">
        <v>971</v>
      </c>
    </row>
    <row r="106" spans="16:25" ht="48" x14ac:dyDescent="0.2">
      <c r="P106" s="117" t="s">
        <v>959</v>
      </c>
      <c r="Q106" s="117" t="s">
        <v>960</v>
      </c>
      <c r="R106" s="117" t="s">
        <v>851</v>
      </c>
      <c r="S106" s="117" t="s">
        <v>865</v>
      </c>
      <c r="T106" s="117">
        <v>4</v>
      </c>
      <c r="U106" s="117" t="s">
        <v>961</v>
      </c>
      <c r="V106" s="117" t="s">
        <v>962</v>
      </c>
      <c r="W106" s="117" t="s">
        <v>972</v>
      </c>
      <c r="X106" s="117" t="s">
        <v>973</v>
      </c>
      <c r="Y106" s="117" t="s">
        <v>974</v>
      </c>
    </row>
    <row r="107" spans="16:25" ht="48" x14ac:dyDescent="0.2">
      <c r="P107" s="117" t="s">
        <v>959</v>
      </c>
      <c r="Q107" s="117" t="s">
        <v>960</v>
      </c>
      <c r="R107" s="117" t="s">
        <v>847</v>
      </c>
      <c r="S107" s="117" t="s">
        <v>881</v>
      </c>
      <c r="T107" s="117">
        <v>4</v>
      </c>
      <c r="U107" s="117" t="s">
        <v>961</v>
      </c>
      <c r="V107" s="117" t="s">
        <v>962</v>
      </c>
      <c r="W107" s="117" t="s">
        <v>975</v>
      </c>
      <c r="X107" s="117" t="s">
        <v>976</v>
      </c>
      <c r="Y107" s="117" t="s">
        <v>977</v>
      </c>
    </row>
    <row r="108" spans="16:25" ht="48" x14ac:dyDescent="0.2">
      <c r="P108" s="117" t="s">
        <v>959</v>
      </c>
      <c r="Q108" s="117" t="s">
        <v>960</v>
      </c>
      <c r="R108" s="117" t="s">
        <v>848</v>
      </c>
      <c r="S108" s="117" t="s">
        <v>881</v>
      </c>
      <c r="T108" s="117">
        <v>4</v>
      </c>
      <c r="U108" s="117" t="s">
        <v>961</v>
      </c>
      <c r="V108" s="117" t="s">
        <v>962</v>
      </c>
      <c r="W108" s="117" t="s">
        <v>978</v>
      </c>
      <c r="X108" s="117" t="s">
        <v>979</v>
      </c>
      <c r="Y108" s="117" t="s">
        <v>980</v>
      </c>
    </row>
    <row r="109" spans="16:25" ht="48" x14ac:dyDescent="0.2">
      <c r="P109" s="117" t="s">
        <v>959</v>
      </c>
      <c r="Q109" s="117" t="s">
        <v>960</v>
      </c>
      <c r="R109" s="117" t="s">
        <v>846</v>
      </c>
      <c r="S109" s="117" t="s">
        <v>865</v>
      </c>
      <c r="T109" s="117">
        <v>10</v>
      </c>
      <c r="U109" s="117" t="s">
        <v>961</v>
      </c>
      <c r="V109" s="117" t="s">
        <v>962</v>
      </c>
      <c r="W109" s="117" t="s">
        <v>981</v>
      </c>
      <c r="X109" s="117" t="s">
        <v>982</v>
      </c>
      <c r="Y109" s="117" t="s">
        <v>983</v>
      </c>
    </row>
    <row r="110" spans="16:25" ht="48" x14ac:dyDescent="0.2">
      <c r="P110" s="117" t="s">
        <v>959</v>
      </c>
      <c r="Q110" s="117" t="s">
        <v>960</v>
      </c>
      <c r="R110" s="117" t="s">
        <v>852</v>
      </c>
      <c r="S110" s="117" t="s">
        <v>865</v>
      </c>
      <c r="T110" s="117">
        <v>3</v>
      </c>
      <c r="U110" s="117" t="s">
        <v>961</v>
      </c>
      <c r="V110" s="117" t="s">
        <v>962</v>
      </c>
      <c r="W110" s="117" t="s">
        <v>984</v>
      </c>
      <c r="X110" s="117" t="s">
        <v>985</v>
      </c>
      <c r="Y110" s="117" t="s">
        <v>986</v>
      </c>
    </row>
    <row r="111" spans="16:25" ht="48" x14ac:dyDescent="0.2">
      <c r="P111" s="117" t="s">
        <v>959</v>
      </c>
      <c r="Q111" s="117" t="s">
        <v>960</v>
      </c>
      <c r="R111" s="117" t="s">
        <v>849</v>
      </c>
      <c r="S111" s="117" t="s">
        <v>865</v>
      </c>
      <c r="T111" s="117">
        <v>3</v>
      </c>
      <c r="U111" s="117" t="s">
        <v>961</v>
      </c>
      <c r="V111" s="117" t="s">
        <v>962</v>
      </c>
      <c r="W111" s="117" t="s">
        <v>987</v>
      </c>
      <c r="X111" s="117" t="s">
        <v>988</v>
      </c>
      <c r="Y111" s="117" t="s">
        <v>989</v>
      </c>
    </row>
    <row r="112" spans="16:25" ht="48" x14ac:dyDescent="0.2">
      <c r="P112" s="117" t="s">
        <v>990</v>
      </c>
      <c r="Q112" s="117" t="s">
        <v>991</v>
      </c>
      <c r="R112" s="117" t="s">
        <v>850</v>
      </c>
      <c r="S112" s="117" t="s">
        <v>865</v>
      </c>
      <c r="T112" s="117">
        <v>7</v>
      </c>
      <c r="U112" s="117" t="s">
        <v>992</v>
      </c>
      <c r="V112" s="117" t="s">
        <v>993</v>
      </c>
      <c r="W112" s="117" t="s">
        <v>994</v>
      </c>
      <c r="X112" s="117" t="s">
        <v>995</v>
      </c>
      <c r="Y112" s="117" t="s">
        <v>996</v>
      </c>
    </row>
    <row r="113" spans="16:25" ht="48" x14ac:dyDescent="0.2">
      <c r="P113" s="117" t="s">
        <v>990</v>
      </c>
      <c r="Q113" s="117" t="s">
        <v>991</v>
      </c>
      <c r="R113" s="117" t="s">
        <v>850</v>
      </c>
      <c r="S113" s="117" t="s">
        <v>865</v>
      </c>
      <c r="T113" s="117">
        <v>2</v>
      </c>
      <c r="U113" s="117" t="s">
        <v>992</v>
      </c>
      <c r="V113" s="117" t="s">
        <v>993</v>
      </c>
      <c r="W113" s="117" t="s">
        <v>997</v>
      </c>
      <c r="X113" s="117" t="s">
        <v>998</v>
      </c>
      <c r="Y113" s="117" t="s">
        <v>999</v>
      </c>
    </row>
    <row r="114" spans="16:25" ht="32" x14ac:dyDescent="0.2">
      <c r="P114" s="117" t="s">
        <v>990</v>
      </c>
      <c r="Q114" s="117" t="s">
        <v>991</v>
      </c>
      <c r="R114" s="117" t="s">
        <v>852</v>
      </c>
      <c r="S114" s="117" t="s">
        <v>865</v>
      </c>
      <c r="T114" s="117">
        <v>1</v>
      </c>
      <c r="U114" s="117" t="s">
        <v>992</v>
      </c>
      <c r="V114" s="117" t="s">
        <v>993</v>
      </c>
      <c r="W114" s="117" t="s">
        <v>1000</v>
      </c>
      <c r="X114" s="117" t="s">
        <v>1001</v>
      </c>
      <c r="Y114" s="117" t="s">
        <v>1002</v>
      </c>
    </row>
    <row r="115" spans="16:25" ht="48" x14ac:dyDescent="0.2">
      <c r="P115" s="117" t="s">
        <v>990</v>
      </c>
      <c r="Q115" s="117" t="s">
        <v>991</v>
      </c>
      <c r="R115" s="117" t="s">
        <v>851</v>
      </c>
      <c r="S115" s="117" t="s">
        <v>865</v>
      </c>
      <c r="T115" s="117">
        <v>1.5</v>
      </c>
      <c r="U115" s="117" t="s">
        <v>992</v>
      </c>
      <c r="V115" s="117" t="s">
        <v>993</v>
      </c>
      <c r="W115" s="117" t="s">
        <v>1003</v>
      </c>
      <c r="X115" s="117" t="s">
        <v>1004</v>
      </c>
      <c r="Y115" s="117" t="s">
        <v>1005</v>
      </c>
    </row>
    <row r="116" spans="16:25" ht="48" x14ac:dyDescent="0.2">
      <c r="P116" s="117" t="s">
        <v>990</v>
      </c>
      <c r="Q116" s="117" t="s">
        <v>991</v>
      </c>
      <c r="R116" s="117" t="s">
        <v>847</v>
      </c>
      <c r="S116" s="117" t="s">
        <v>881</v>
      </c>
      <c r="T116" s="117">
        <v>3</v>
      </c>
      <c r="U116" s="117" t="s">
        <v>992</v>
      </c>
      <c r="V116" s="117" t="s">
        <v>993</v>
      </c>
      <c r="W116" s="117" t="s">
        <v>1006</v>
      </c>
      <c r="X116" s="117" t="s">
        <v>1007</v>
      </c>
      <c r="Y116" s="117" t="s">
        <v>1008</v>
      </c>
    </row>
    <row r="117" spans="16:25" ht="48" x14ac:dyDescent="0.2">
      <c r="P117" s="117" t="s">
        <v>990</v>
      </c>
      <c r="Q117" s="117" t="s">
        <v>991</v>
      </c>
      <c r="R117" s="117" t="s">
        <v>848</v>
      </c>
      <c r="S117" s="117" t="s">
        <v>881</v>
      </c>
      <c r="T117" s="117">
        <v>6</v>
      </c>
      <c r="U117" s="117" t="s">
        <v>992</v>
      </c>
      <c r="V117" s="117" t="s">
        <v>993</v>
      </c>
      <c r="W117" s="117" t="s">
        <v>1009</v>
      </c>
      <c r="X117" s="117" t="s">
        <v>1010</v>
      </c>
      <c r="Y117" s="117" t="s">
        <v>1011</v>
      </c>
    </row>
    <row r="118" spans="16:25" ht="48" x14ac:dyDescent="0.2">
      <c r="P118" s="117" t="s">
        <v>990</v>
      </c>
      <c r="Q118" s="117" t="s">
        <v>991</v>
      </c>
      <c r="R118" s="117" t="s">
        <v>846</v>
      </c>
      <c r="S118" s="117" t="s">
        <v>865</v>
      </c>
      <c r="T118" s="117">
        <v>5</v>
      </c>
      <c r="U118" s="117" t="s">
        <v>992</v>
      </c>
      <c r="V118" s="117" t="s">
        <v>993</v>
      </c>
      <c r="W118" s="117" t="s">
        <v>1012</v>
      </c>
      <c r="X118" s="117" t="s">
        <v>1013</v>
      </c>
      <c r="Y118" s="117" t="s">
        <v>1014</v>
      </c>
    </row>
    <row r="119" spans="16:25" ht="48" x14ac:dyDescent="0.2">
      <c r="P119" s="117" t="s">
        <v>990</v>
      </c>
      <c r="Q119" s="117" t="s">
        <v>991</v>
      </c>
      <c r="R119" s="117" t="s">
        <v>852</v>
      </c>
      <c r="S119" s="117" t="s">
        <v>865</v>
      </c>
      <c r="T119" s="117">
        <v>3.5</v>
      </c>
      <c r="U119" s="117" t="s">
        <v>992</v>
      </c>
      <c r="V119" s="117" t="s">
        <v>993</v>
      </c>
      <c r="W119" s="117" t="s">
        <v>1015</v>
      </c>
      <c r="X119" s="117" t="s">
        <v>1016</v>
      </c>
      <c r="Y119" s="117" t="s">
        <v>1017</v>
      </c>
    </row>
    <row r="120" spans="16:25" ht="48" x14ac:dyDescent="0.2">
      <c r="P120" s="117" t="s">
        <v>990</v>
      </c>
      <c r="Q120" s="117" t="s">
        <v>991</v>
      </c>
      <c r="R120" s="117" t="s">
        <v>849</v>
      </c>
      <c r="S120" s="117" t="s">
        <v>865</v>
      </c>
      <c r="T120" s="117">
        <v>2</v>
      </c>
      <c r="U120" s="117" t="s">
        <v>992</v>
      </c>
      <c r="V120" s="117" t="s">
        <v>993</v>
      </c>
      <c r="W120" s="117" t="s">
        <v>1018</v>
      </c>
      <c r="X120" s="117" t="s">
        <v>1019</v>
      </c>
      <c r="Y120" s="117" t="s">
        <v>1020</v>
      </c>
    </row>
    <row r="121" spans="16:25" ht="48" x14ac:dyDescent="0.2">
      <c r="P121" s="117" t="s">
        <v>1021</v>
      </c>
      <c r="Q121" s="117" t="s">
        <v>1022</v>
      </c>
      <c r="R121" s="117" t="s">
        <v>850</v>
      </c>
      <c r="S121" s="117" t="s">
        <v>865</v>
      </c>
      <c r="T121" s="117">
        <v>1.5</v>
      </c>
      <c r="U121" s="117" t="s">
        <v>1023</v>
      </c>
      <c r="V121" s="117" t="s">
        <v>1024</v>
      </c>
      <c r="W121" s="117" t="s">
        <v>1025</v>
      </c>
      <c r="X121" s="117" t="s">
        <v>1026</v>
      </c>
      <c r="Y121" s="117" t="s">
        <v>1027</v>
      </c>
    </row>
    <row r="122" spans="16:25" ht="32" x14ac:dyDescent="0.2">
      <c r="P122" s="117" t="s">
        <v>1021</v>
      </c>
      <c r="Q122" s="117" t="s">
        <v>1022</v>
      </c>
      <c r="R122" s="117" t="s">
        <v>850</v>
      </c>
      <c r="S122" s="117" t="s">
        <v>865</v>
      </c>
      <c r="T122" s="117">
        <v>0.5</v>
      </c>
      <c r="U122" s="117" t="s">
        <v>1023</v>
      </c>
      <c r="V122" s="117" t="s">
        <v>1024</v>
      </c>
      <c r="W122" s="117" t="s">
        <v>1028</v>
      </c>
      <c r="X122" s="117" t="s">
        <v>1029</v>
      </c>
      <c r="Y122" s="117" t="s">
        <v>1030</v>
      </c>
    </row>
    <row r="123" spans="16:25" ht="32" x14ac:dyDescent="0.2">
      <c r="P123" s="117" t="s">
        <v>1021</v>
      </c>
      <c r="Q123" s="117" t="s">
        <v>1022</v>
      </c>
      <c r="R123" s="117" t="s">
        <v>852</v>
      </c>
      <c r="S123" s="117" t="s">
        <v>865</v>
      </c>
      <c r="T123" s="117">
        <v>0.5</v>
      </c>
      <c r="U123" s="117" t="s">
        <v>1023</v>
      </c>
      <c r="V123" s="117" t="s">
        <v>1024</v>
      </c>
      <c r="W123" s="117" t="s">
        <v>1031</v>
      </c>
      <c r="X123" s="117" t="s">
        <v>1032</v>
      </c>
      <c r="Y123" s="117" t="s">
        <v>1033</v>
      </c>
    </row>
    <row r="124" spans="16:25" ht="48" x14ac:dyDescent="0.2">
      <c r="P124" s="117" t="s">
        <v>1021</v>
      </c>
      <c r="Q124" s="117" t="s">
        <v>1022</v>
      </c>
      <c r="R124" s="117" t="s">
        <v>851</v>
      </c>
      <c r="S124" s="117" t="s">
        <v>865</v>
      </c>
      <c r="T124" s="117">
        <v>0.5</v>
      </c>
      <c r="U124" s="117" t="s">
        <v>1023</v>
      </c>
      <c r="V124" s="117" t="s">
        <v>1024</v>
      </c>
      <c r="W124" s="117" t="s">
        <v>1034</v>
      </c>
      <c r="X124" s="117" t="s">
        <v>1035</v>
      </c>
      <c r="Y124" s="117" t="s">
        <v>1036</v>
      </c>
    </row>
    <row r="125" spans="16:25" ht="48" x14ac:dyDescent="0.2">
      <c r="P125" s="117" t="s">
        <v>1021</v>
      </c>
      <c r="Q125" s="117" t="s">
        <v>1022</v>
      </c>
      <c r="R125" s="117" t="s">
        <v>847</v>
      </c>
      <c r="S125" s="117" t="s">
        <v>881</v>
      </c>
      <c r="T125" s="117">
        <v>0.5</v>
      </c>
      <c r="U125" s="117" t="s">
        <v>1023</v>
      </c>
      <c r="V125" s="117" t="s">
        <v>1024</v>
      </c>
      <c r="W125" s="117" t="s">
        <v>1037</v>
      </c>
      <c r="X125" s="117" t="s">
        <v>1038</v>
      </c>
      <c r="Y125" s="117" t="s">
        <v>1039</v>
      </c>
    </row>
    <row r="126" spans="16:25" ht="48" x14ac:dyDescent="0.2">
      <c r="P126" s="117" t="s">
        <v>1021</v>
      </c>
      <c r="Q126" s="117" t="s">
        <v>1022</v>
      </c>
      <c r="R126" s="117" t="s">
        <v>848</v>
      </c>
      <c r="S126" s="117" t="s">
        <v>881</v>
      </c>
      <c r="T126" s="117">
        <v>0.5</v>
      </c>
      <c r="U126" s="117" t="s">
        <v>1023</v>
      </c>
      <c r="V126" s="117" t="s">
        <v>1024</v>
      </c>
      <c r="W126" s="117" t="s">
        <v>1040</v>
      </c>
      <c r="X126" s="117" t="s">
        <v>1041</v>
      </c>
      <c r="Y126" s="117" t="s">
        <v>1042</v>
      </c>
    </row>
    <row r="127" spans="16:25" ht="48" x14ac:dyDescent="0.2">
      <c r="P127" s="117" t="s">
        <v>1021</v>
      </c>
      <c r="Q127" s="117" t="s">
        <v>1022</v>
      </c>
      <c r="R127" s="117" t="s">
        <v>846</v>
      </c>
      <c r="S127" s="117" t="s">
        <v>865</v>
      </c>
      <c r="T127" s="117">
        <v>1</v>
      </c>
      <c r="U127" s="117" t="s">
        <v>1023</v>
      </c>
      <c r="V127" s="117" t="s">
        <v>1024</v>
      </c>
      <c r="W127" s="117" t="s">
        <v>1043</v>
      </c>
      <c r="X127" s="117" t="s">
        <v>1044</v>
      </c>
      <c r="Y127" s="117" t="s">
        <v>1045</v>
      </c>
    </row>
    <row r="128" spans="16:25" ht="48" x14ac:dyDescent="0.2">
      <c r="P128" s="117" t="s">
        <v>1021</v>
      </c>
      <c r="Q128" s="117" t="s">
        <v>1022</v>
      </c>
      <c r="R128" s="117" t="s">
        <v>852</v>
      </c>
      <c r="S128" s="117" t="s">
        <v>865</v>
      </c>
      <c r="T128" s="117">
        <v>0</v>
      </c>
      <c r="U128" s="117" t="s">
        <v>1023</v>
      </c>
      <c r="V128" s="117" t="s">
        <v>1024</v>
      </c>
      <c r="W128" s="117" t="s">
        <v>1046</v>
      </c>
      <c r="X128" s="117" t="s">
        <v>1047</v>
      </c>
      <c r="Y128" s="117" t="s">
        <v>1048</v>
      </c>
    </row>
    <row r="129" spans="16:25" ht="32" x14ac:dyDescent="0.2">
      <c r="P129" s="117" t="s">
        <v>1021</v>
      </c>
      <c r="Q129" s="117" t="s">
        <v>1022</v>
      </c>
      <c r="R129" s="117" t="s">
        <v>849</v>
      </c>
      <c r="S129" s="117" t="s">
        <v>865</v>
      </c>
      <c r="T129" s="117">
        <v>1</v>
      </c>
      <c r="U129" s="117" t="s">
        <v>1023</v>
      </c>
      <c r="V129" s="117" t="s">
        <v>1024</v>
      </c>
      <c r="W129" s="117" t="s">
        <v>1049</v>
      </c>
      <c r="X129" s="117" t="s">
        <v>1050</v>
      </c>
      <c r="Y129" s="117" t="s">
        <v>1051</v>
      </c>
    </row>
    <row r="130" spans="16:25" ht="16" x14ac:dyDescent="0.2">
      <c r="P130" s="117" t="s">
        <v>1072</v>
      </c>
      <c r="Q130" s="117" t="s">
        <v>1073</v>
      </c>
      <c r="R130" s="117" t="s">
        <v>846</v>
      </c>
      <c r="S130" s="117" t="s">
        <v>865</v>
      </c>
      <c r="T130" s="117">
        <v>3</v>
      </c>
      <c r="U130" s="117" t="s">
        <v>1074</v>
      </c>
      <c r="V130" s="117" t="s">
        <v>1075</v>
      </c>
      <c r="W130" s="117" t="s">
        <v>1075</v>
      </c>
      <c r="X130" s="117" t="s">
        <v>1077</v>
      </c>
      <c r="Y130" s="117" t="s">
        <v>1077</v>
      </c>
    </row>
    <row r="131" spans="16:25" ht="32" x14ac:dyDescent="0.2">
      <c r="P131" s="117" t="s">
        <v>1072</v>
      </c>
      <c r="Q131" s="117" t="s">
        <v>1073</v>
      </c>
      <c r="R131" s="117" t="s">
        <v>847</v>
      </c>
      <c r="S131" s="117" t="s">
        <v>881</v>
      </c>
      <c r="T131" s="117">
        <v>2</v>
      </c>
      <c r="U131" s="117" t="s">
        <v>1074</v>
      </c>
      <c r="V131" s="117" t="s">
        <v>1076</v>
      </c>
      <c r="W131" s="117" t="s">
        <v>1076</v>
      </c>
      <c r="X131" s="117" t="s">
        <v>1077</v>
      </c>
      <c r="Y131" s="117" t="s">
        <v>1077</v>
      </c>
    </row>
  </sheetData>
  <mergeCells count="17">
    <mergeCell ref="B26:L26"/>
    <mergeCell ref="B4:L4"/>
    <mergeCell ref="B5:L5"/>
    <mergeCell ref="B6:L6"/>
    <mergeCell ref="B22:C22"/>
    <mergeCell ref="B23:L23"/>
    <mergeCell ref="B27:L27"/>
    <mergeCell ref="B28:L28"/>
    <mergeCell ref="B58:C58"/>
    <mergeCell ref="B59:L59"/>
    <mergeCell ref="B62:L62"/>
    <mergeCell ref="E64:L64"/>
    <mergeCell ref="E63:L63"/>
    <mergeCell ref="E68:L68"/>
    <mergeCell ref="E67:L67"/>
    <mergeCell ref="E66:L66"/>
    <mergeCell ref="E65:L6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70"/>
  <sheetViews>
    <sheetView showGridLines="0" topLeftCell="A47" zoomScale="112" zoomScaleNormal="100" workbookViewId="0">
      <selection activeCell="C67" sqref="C67"/>
    </sheetView>
  </sheetViews>
  <sheetFormatPr baseColWidth="10" defaultColWidth="8.83203125" defaultRowHeight="15" x14ac:dyDescent="0.2"/>
  <cols>
    <col min="2" max="2" width="38" customWidth="1"/>
    <col min="3" max="6" width="18" customWidth="1"/>
    <col min="7" max="7" width="20" customWidth="1"/>
    <col min="8" max="8" width="18" customWidth="1"/>
    <col min="9" max="9" width="42" customWidth="1"/>
    <col min="12" max="12" width="10.1640625" bestFit="1" customWidth="1"/>
    <col min="15" max="15" width="16.33203125" bestFit="1" customWidth="1"/>
  </cols>
  <sheetData>
    <row r="2" spans="2:9" ht="24" customHeight="1" x14ac:dyDescent="0.2">
      <c r="B2" s="151" t="s">
        <v>249</v>
      </c>
      <c r="C2" s="151"/>
      <c r="D2" s="151"/>
      <c r="E2" s="151"/>
      <c r="F2" s="151"/>
      <c r="G2" s="151"/>
      <c r="H2" s="151"/>
    </row>
    <row r="3" spans="2:9" ht="16" thickBot="1" x14ac:dyDescent="0.25"/>
    <row r="4" spans="2:9" ht="15" customHeight="1" thickBot="1" x14ac:dyDescent="0.25">
      <c r="B4" s="150" t="s">
        <v>250</v>
      </c>
      <c r="C4" s="150"/>
      <c r="D4" s="150"/>
      <c r="E4" s="150"/>
      <c r="F4" s="150"/>
      <c r="G4" s="150"/>
      <c r="H4" s="150"/>
      <c r="I4" s="137"/>
    </row>
    <row r="5" spans="2:9" ht="15.75" customHeight="1" x14ac:dyDescent="0.2">
      <c r="B5" s="17" t="s">
        <v>62</v>
      </c>
      <c r="C5" s="17" t="s">
        <v>251</v>
      </c>
      <c r="D5" s="17" t="s">
        <v>65</v>
      </c>
      <c r="E5" s="17" t="s">
        <v>66</v>
      </c>
      <c r="F5" s="17" t="s">
        <v>67</v>
      </c>
      <c r="G5" s="17" t="s">
        <v>68</v>
      </c>
      <c r="H5" s="17" t="s">
        <v>24</v>
      </c>
    </row>
    <row r="6" spans="2:9" ht="30" customHeight="1" x14ac:dyDescent="0.2">
      <c r="B6" s="10" t="s">
        <v>252</v>
      </c>
      <c r="C6" s="36">
        <f>'02_INPUTS'!D10</f>
        <v>654</v>
      </c>
      <c r="D6" s="36">
        <f>'02_INPUTS'!D10</f>
        <v>654</v>
      </c>
      <c r="E6" s="36">
        <f>'02_INPUTS'!D10</f>
        <v>654</v>
      </c>
      <c r="F6" s="36">
        <f>'02_INPUTS'!D10</f>
        <v>654</v>
      </c>
      <c r="G6" s="36">
        <f>'02_INPUTS'!D10</f>
        <v>654</v>
      </c>
      <c r="H6" s="9" t="s">
        <v>253</v>
      </c>
    </row>
    <row r="7" spans="2:9" ht="15.75" customHeight="1" x14ac:dyDescent="0.2">
      <c r="B7" s="10" t="s">
        <v>254</v>
      </c>
      <c r="C7" s="37">
        <f>'02_INPUTS'!D18</f>
        <v>0.35</v>
      </c>
      <c r="D7" s="37">
        <f>'02_INPUTS'!E18</f>
        <v>0.6</v>
      </c>
      <c r="E7" s="37">
        <f>'02_INPUTS'!F18</f>
        <v>0.75</v>
      </c>
      <c r="F7" s="37">
        <f>'02_INPUTS'!G18</f>
        <v>0.9</v>
      </c>
      <c r="G7" s="37">
        <f>'02_INPUTS'!H18</f>
        <v>0.9</v>
      </c>
      <c r="H7" s="9" t="s">
        <v>255</v>
      </c>
    </row>
    <row r="8" spans="2:9" ht="15.75" customHeight="1" x14ac:dyDescent="0.2">
      <c r="B8" s="10" t="s">
        <v>256</v>
      </c>
      <c r="C8" s="36">
        <f>C6*C7</f>
        <v>228.89999999999998</v>
      </c>
      <c r="D8" s="36">
        <f>D6*D7</f>
        <v>392.4</v>
      </c>
      <c r="E8" s="36">
        <f>E6*E7</f>
        <v>490.5</v>
      </c>
      <c r="F8" s="36">
        <f>F6*F7</f>
        <v>588.6</v>
      </c>
      <c r="G8" s="36">
        <f>G7*G6</f>
        <v>588.6</v>
      </c>
      <c r="H8" s="9" t="s">
        <v>256</v>
      </c>
    </row>
    <row r="9" spans="2:9" ht="45" customHeight="1" x14ac:dyDescent="0.2">
      <c r="B9" s="10" t="s">
        <v>257</v>
      </c>
      <c r="C9" s="38">
        <f>C$8*'02_INPUTS'!$D$19*'02_INPUTS'!$D$11*'02_INPUTS'!$D$26</f>
        <v>1142668.7999999998</v>
      </c>
      <c r="D9" s="38">
        <f>D$8*'02_INPUTS'!$D$19*'02_INPUTS'!$D$11*'02_INPUTS'!$D$26</f>
        <v>1958860.7999999998</v>
      </c>
      <c r="E9" s="38">
        <f>E$8*'02_INPUTS'!$D$19*'02_INPUTS'!$D$11*'02_INPUTS'!$D$26</f>
        <v>2448576</v>
      </c>
      <c r="F9" s="38">
        <f>F$8*'02_INPUTS'!$D$19*'02_INPUTS'!$D$11*'02_INPUTS'!$D$26</f>
        <v>2938291.2</v>
      </c>
      <c r="G9" s="38">
        <f>G$8*'02_INPUTS'!$D$19*'02_INPUTS'!$D$11*'02_INPUTS'!$D$26</f>
        <v>2938291.2</v>
      </c>
      <c r="H9" s="9" t="s">
        <v>258</v>
      </c>
    </row>
    <row r="10" spans="2:9" ht="30" customHeight="1" x14ac:dyDescent="0.2">
      <c r="B10" s="10" t="s">
        <v>259</v>
      </c>
      <c r="C10" s="38">
        <f>C9*('02_INPUTS'!D20+'02_INPUTS'!D22*'02_INPUTS'!D23)</f>
        <v>2948085503.9999995</v>
      </c>
      <c r="D10" s="38">
        <f>D9*('02_INPUTS'!D20+'02_INPUTS'!D22*'02_INPUTS'!D23)</f>
        <v>5053860863.999999</v>
      </c>
      <c r="E10" s="38">
        <f>E9*('02_INPUTS'!D20+'02_INPUTS'!D22*'02_INPUTS'!D23)</f>
        <v>6317326080</v>
      </c>
      <c r="F10" s="38">
        <f>F9*('02_INPUTS'!D20+'02_INPUTS'!D22*'02_INPUTS'!D23)</f>
        <v>7580791296.000001</v>
      </c>
      <c r="G10" s="38">
        <f>G9*('02_INPUTS'!D20+'02_INPUTS'!D22*'02_INPUTS'!D23)</f>
        <v>7580791296.000001</v>
      </c>
      <c r="H10" s="9" t="s">
        <v>260</v>
      </c>
    </row>
    <row r="11" spans="2:9" ht="15.75" customHeight="1" x14ac:dyDescent="0.2">
      <c r="B11" s="10" t="s">
        <v>261</v>
      </c>
      <c r="C11" s="36">
        <f>C9*'02_INPUTS'!D21</f>
        <v>571334399.99999988</v>
      </c>
      <c r="D11" s="36">
        <f>D9*'02_INPUTS'!D21</f>
        <v>979430399.99999988</v>
      </c>
      <c r="E11" s="36">
        <f>E9*'02_INPUTS'!D21</f>
        <v>1224288000</v>
      </c>
      <c r="F11" s="36">
        <f>F9*'02_INPUTS'!D21</f>
        <v>1469145600</v>
      </c>
      <c r="G11" s="36">
        <f>G9*'02_INPUTS'!D21</f>
        <v>1469145600</v>
      </c>
      <c r="H11" s="9" t="s">
        <v>262</v>
      </c>
    </row>
    <row r="12" spans="2:9" ht="30" customHeight="1" x14ac:dyDescent="0.2">
      <c r="B12" s="10" t="s">
        <v>263</v>
      </c>
      <c r="C12" s="36">
        <f>C9*'02_INPUTS'!D24</f>
        <v>685601.27999999991</v>
      </c>
      <c r="D12" s="36">
        <f>D9*'02_INPUTS'!D24</f>
        <v>1175316.4799999997</v>
      </c>
      <c r="E12" s="36">
        <f>E9*'02_INPUTS'!D24</f>
        <v>1469145.5999999999</v>
      </c>
      <c r="F12" s="36">
        <f>F9*'02_INPUTS'!D24</f>
        <v>1762974.72</v>
      </c>
      <c r="G12" s="36">
        <f>G9*'02_INPUTS'!D24</f>
        <v>1762974.72</v>
      </c>
      <c r="H12" s="9" t="s">
        <v>264</v>
      </c>
    </row>
    <row r="13" spans="2:9" ht="45" customHeight="1" x14ac:dyDescent="0.2">
      <c r="B13" s="10" t="s">
        <v>265</v>
      </c>
      <c r="C13" s="36">
        <f>C9*'02_INPUTS'!D25</f>
        <v>285667.19999999995</v>
      </c>
      <c r="D13" s="36">
        <f>D9*'02_INPUTS'!D25</f>
        <v>489715.19999999995</v>
      </c>
      <c r="E13" s="36">
        <f>E9*'02_INPUTS'!D25</f>
        <v>612144</v>
      </c>
      <c r="F13" s="36">
        <f>F9*'02_INPUTS'!D25</f>
        <v>734572.8</v>
      </c>
      <c r="G13" s="36">
        <f>G9*'02_INPUTS'!D25</f>
        <v>734572.8</v>
      </c>
      <c r="H13" s="9" t="s">
        <v>266</v>
      </c>
    </row>
    <row r="14" spans="2:9" ht="30" customHeight="1" x14ac:dyDescent="0.2">
      <c r="B14" s="10" t="s">
        <v>267</v>
      </c>
      <c r="C14" s="36">
        <f>C13*'02_INPUTS'!D26</f>
        <v>1142668.7999999998</v>
      </c>
      <c r="D14" s="36">
        <f>D13*'02_INPUTS'!D26</f>
        <v>1958860.7999999998</v>
      </c>
      <c r="E14" s="36">
        <f>E13*'02_INPUTS'!D26</f>
        <v>2448576</v>
      </c>
      <c r="F14" s="36">
        <f>F13*'02_INPUTS'!D26</f>
        <v>2938291.2</v>
      </c>
      <c r="G14" s="36">
        <f>G13*'02_INPUTS'!D26</f>
        <v>2938291.2</v>
      </c>
      <c r="H14" s="9" t="s">
        <v>268</v>
      </c>
    </row>
    <row r="15" spans="2:9" ht="30" customHeight="1" x14ac:dyDescent="0.2">
      <c r="B15" s="10" t="s">
        <v>269</v>
      </c>
      <c r="C15" s="39">
        <f>C9/('02_INPUTS'!D12*12*'02_INPUTS'!D13)*'02_INPUTS'!D27</f>
        <v>997.56799999999998</v>
      </c>
      <c r="D15" s="39">
        <f>D9/('02_INPUTS'!D12*12*'02_INPUTS'!D13)*'02_INPUTS'!D27</f>
        <v>1710.1165714285714</v>
      </c>
      <c r="E15" s="39">
        <f>E9/('02_INPUTS'!D12*12*'02_INPUTS'!D13)*'02_INPUTS'!D27</f>
        <v>2137.6457142857143</v>
      </c>
      <c r="F15" s="39">
        <f>F9/('02_INPUTS'!D12*12*'02_INPUTS'!D13)*'02_INPUTS'!D27</f>
        <v>2565.1748571428575</v>
      </c>
      <c r="G15" s="39">
        <f>G9/('02_INPUTS'!D12*12*'02_INPUTS'!D13)*'02_INPUTS'!D27</f>
        <v>2565.1748571428575</v>
      </c>
      <c r="H15" s="9" t="s">
        <v>270</v>
      </c>
    </row>
    <row r="16" spans="2:9" ht="30" customHeight="1" x14ac:dyDescent="0.2">
      <c r="B16" s="10" t="s">
        <v>271</v>
      </c>
      <c r="C16" s="39">
        <f>C15*(('02_INPUTS'!D20+'02_INPUTS'!D22*'02_INPUTS'!D23)+'02_INPUTS'!D21)/3600</f>
        <v>853.47484444444444</v>
      </c>
      <c r="D16" s="39">
        <f>D15*(('02_INPUTS'!D20+'02_INPUTS'!D22*'02_INPUTS'!D23)+'02_INPUTS'!D21)/3600</f>
        <v>1463.0997333333332</v>
      </c>
      <c r="E16" s="39">
        <f>E15*(('02_INPUTS'!D20+'02_INPUTS'!D22*'02_INPUTS'!D23)+'02_INPUTS'!D21)/3600</f>
        <v>1828.8746666666666</v>
      </c>
      <c r="F16" s="39">
        <f>F15*(('02_INPUTS'!D20+'02_INPUTS'!D22*'02_INPUTS'!D23)+'02_INPUTS'!D21)/3600</f>
        <v>2194.6496000000002</v>
      </c>
      <c r="G16" s="39">
        <f>G15*(('02_INPUTS'!D20+'02_INPUTS'!D22*'02_INPUTS'!D23)+'02_INPUTS'!D21)/3600</f>
        <v>2194.6496000000002</v>
      </c>
      <c r="H16" s="9" t="s">
        <v>272</v>
      </c>
      <c r="I16" s="86"/>
    </row>
    <row r="17" spans="2:9" ht="21.75" customHeight="1" x14ac:dyDescent="0.2">
      <c r="B17" s="10"/>
      <c r="C17" s="39"/>
      <c r="D17" s="39"/>
      <c r="E17" s="39"/>
      <c r="F17" s="39"/>
      <c r="H17" s="39"/>
      <c r="I17" s="139"/>
    </row>
    <row r="18" spans="2:9" ht="15" customHeight="1" x14ac:dyDescent="0.2">
      <c r="B18" s="157" t="s">
        <v>273</v>
      </c>
      <c r="C18" s="157"/>
      <c r="D18" s="157"/>
      <c r="E18" s="157"/>
      <c r="F18" s="157"/>
      <c r="G18" s="157"/>
      <c r="H18" s="157"/>
      <c r="I18" s="137"/>
    </row>
    <row r="19" spans="2:9" ht="31.5" customHeight="1" x14ac:dyDescent="0.2">
      <c r="B19" s="6" t="s">
        <v>274</v>
      </c>
      <c r="C19" s="6" t="s">
        <v>10</v>
      </c>
      <c r="D19" s="6" t="s">
        <v>11</v>
      </c>
      <c r="E19" s="6" t="s">
        <v>12</v>
      </c>
      <c r="F19" s="6" t="s">
        <v>13</v>
      </c>
      <c r="G19" s="6" t="s">
        <v>1143</v>
      </c>
      <c r="H19" s="6" t="s">
        <v>24</v>
      </c>
      <c r="I19" s="138"/>
    </row>
    <row r="20" spans="2:9" x14ac:dyDescent="0.2">
      <c r="B20" s="177" t="s">
        <v>1091</v>
      </c>
      <c r="C20" s="177"/>
      <c r="D20" s="177"/>
      <c r="E20" s="177"/>
      <c r="F20" s="177"/>
      <c r="G20" s="177"/>
      <c r="H20" s="177"/>
      <c r="I20" s="138"/>
    </row>
    <row r="21" spans="2:9" ht="21.75" customHeight="1" x14ac:dyDescent="0.2">
      <c r="B21" s="10" t="s">
        <v>1069</v>
      </c>
      <c r="C21" s="14">
        <f>VLOOKUP($B21,'04_PoC_MVP_Phasen'!$B$7:$L$22,11,FALSE)*'04_PoC_MVP_Phasen'!$D$64</f>
        <v>8500</v>
      </c>
      <c r="D21" s="14">
        <f>VLOOKUP($B21,'04_PoC_MVP_Phasen'!$B$7:$L$22,11,FALSE)*'04_PoC_MVP_Phasen'!$D$66</f>
        <v>11500</v>
      </c>
      <c r="E21" s="14">
        <f>VLOOKUP($B21,'04_PoC_MVP_Phasen'!$B$7:$L$22,11,FALSE)*'04_PoC_MVP_Phasen'!$D$67</f>
        <v>12000</v>
      </c>
      <c r="F21" s="14">
        <f>VLOOKUP($B21,'04_PoC_MVP_Phasen'!$B$7:$L$22,11,FALSE)*'04_PoC_MVP_Phasen'!$D$65</f>
        <v>10000</v>
      </c>
      <c r="G21" s="14">
        <f>VLOOKUP($B21,'04_PoC_MVP_Phasen'!$B$7:$L$22,11,FALSE)*'04_PoC_MVP_Phasen'!$D$68</f>
        <v>11000</v>
      </c>
      <c r="H21" s="9" t="s">
        <v>275</v>
      </c>
      <c r="I21" s="86"/>
    </row>
    <row r="22" spans="2:9" ht="21.75" customHeight="1" x14ac:dyDescent="0.2">
      <c r="B22" s="10" t="s">
        <v>840</v>
      </c>
      <c r="C22" s="14">
        <f>VLOOKUP($B22,'04_PoC_MVP_Phasen'!$B$7:$L$22,11,FALSE)*'04_PoC_MVP_Phasen'!$D$64</f>
        <v>15300</v>
      </c>
      <c r="D22" s="14">
        <f>VLOOKUP($B22,'04_PoC_MVP_Phasen'!$B$7:$L$22,11,FALSE)*'04_PoC_MVP_Phasen'!$D$66</f>
        <v>20700</v>
      </c>
      <c r="E22" s="14">
        <f>VLOOKUP($B22,'04_PoC_MVP_Phasen'!$B$7:$L$22,11,FALSE)*'04_PoC_MVP_Phasen'!$D$67</f>
        <v>21600</v>
      </c>
      <c r="F22" s="14">
        <f>VLOOKUP($B22,'04_PoC_MVP_Phasen'!$B$7:$L$22,11,FALSE)*'04_PoC_MVP_Phasen'!$D$65</f>
        <v>18000</v>
      </c>
      <c r="G22" s="14">
        <f>VLOOKUP($B22,'04_PoC_MVP_Phasen'!$B$7:$L$22,11,FALSE)*'04_PoC_MVP_Phasen'!$D$68</f>
        <v>19800</v>
      </c>
      <c r="H22" s="9" t="s">
        <v>276</v>
      </c>
    </row>
    <row r="23" spans="2:9" ht="30" customHeight="1" x14ac:dyDescent="0.2">
      <c r="B23" s="10" t="s">
        <v>841</v>
      </c>
      <c r="C23" s="14">
        <f>VLOOKUP($B23,'04_PoC_MVP_Phasen'!$B$7:$L$22,11,FALSE)*'04_PoC_MVP_Phasen'!$D$64</f>
        <v>20400</v>
      </c>
      <c r="D23" s="14">
        <f>VLOOKUP($B23,'04_PoC_MVP_Phasen'!$B$7:$L$22,11,FALSE)*'04_PoC_MVP_Phasen'!$D$66</f>
        <v>27599.999999999996</v>
      </c>
      <c r="E23" s="14">
        <f>VLOOKUP($B23,'04_PoC_MVP_Phasen'!$B$7:$L$22,11,FALSE)*'04_PoC_MVP_Phasen'!$D$67</f>
        <v>28800</v>
      </c>
      <c r="F23" s="14">
        <f>VLOOKUP($B23,'04_PoC_MVP_Phasen'!$B$7:$L$22,11,FALSE)*'04_PoC_MVP_Phasen'!$D$65</f>
        <v>24000</v>
      </c>
      <c r="G23" s="14">
        <f>VLOOKUP($B23,'04_PoC_MVP_Phasen'!$B$7:$L$22,11,FALSE)*'04_PoC_MVP_Phasen'!$D$68</f>
        <v>26400.000000000004</v>
      </c>
      <c r="H23" s="9" t="s">
        <v>277</v>
      </c>
    </row>
    <row r="24" spans="2:9" ht="21.75" customHeight="1" x14ac:dyDescent="0.2">
      <c r="B24" s="10" t="s">
        <v>842</v>
      </c>
      <c r="C24" s="14">
        <f>VLOOKUP($B24,'04_PoC_MVP_Phasen'!$B$7:$L$22,11,FALSE)*'04_PoC_MVP_Phasen'!$D$64</f>
        <v>20400</v>
      </c>
      <c r="D24" s="14">
        <f>VLOOKUP($B24,'04_PoC_MVP_Phasen'!$B$7:$L$22,11,FALSE)*'04_PoC_MVP_Phasen'!$D$66</f>
        <v>27599.999999999996</v>
      </c>
      <c r="E24" s="14">
        <f>VLOOKUP($B24,'04_PoC_MVP_Phasen'!$B$7:$L$22,11,FALSE)*'04_PoC_MVP_Phasen'!$D$67</f>
        <v>28800</v>
      </c>
      <c r="F24" s="14">
        <f>VLOOKUP($B24,'04_PoC_MVP_Phasen'!$B$7:$L$22,11,FALSE)*'04_PoC_MVP_Phasen'!$D$65</f>
        <v>24000</v>
      </c>
      <c r="G24" s="14">
        <f>VLOOKUP($B24,'04_PoC_MVP_Phasen'!$B$7:$L$22,11,FALSE)*'04_PoC_MVP_Phasen'!$D$68</f>
        <v>26400.000000000004</v>
      </c>
      <c r="H24" s="9" t="s">
        <v>278</v>
      </c>
    </row>
    <row r="25" spans="2:9" ht="21.75" customHeight="1" x14ac:dyDescent="0.2">
      <c r="B25" s="10" t="s">
        <v>843</v>
      </c>
      <c r="C25" s="14">
        <f>VLOOKUP($B25,'04_PoC_MVP_Phasen'!$B$7:$L$22,11,FALSE)*'04_PoC_MVP_Phasen'!$D$64</f>
        <v>67150</v>
      </c>
      <c r="D25" s="14">
        <f>VLOOKUP($B25,'04_PoC_MVP_Phasen'!$B$7:$L$22,11,FALSE)*'04_PoC_MVP_Phasen'!$D$66</f>
        <v>90850</v>
      </c>
      <c r="E25" s="14">
        <f>VLOOKUP($B25,'04_PoC_MVP_Phasen'!$B$7:$L$22,11,FALSE)*'04_PoC_MVP_Phasen'!$D$67</f>
        <v>94800</v>
      </c>
      <c r="F25" s="14">
        <f>VLOOKUP($B25,'04_PoC_MVP_Phasen'!$B$7:$L$22,11,FALSE)*'04_PoC_MVP_Phasen'!$D$65</f>
        <v>79000</v>
      </c>
      <c r="G25" s="14">
        <f>VLOOKUP($B25,'04_PoC_MVP_Phasen'!$B$7:$L$22,11,FALSE)*'04_PoC_MVP_Phasen'!$D$68</f>
        <v>86900</v>
      </c>
      <c r="H25" s="9" t="s">
        <v>279</v>
      </c>
    </row>
    <row r="26" spans="2:9" ht="21.75" customHeight="1" x14ac:dyDescent="0.2">
      <c r="B26" s="10" t="s">
        <v>844</v>
      </c>
      <c r="C26" s="14">
        <f>VLOOKUP($B26,'04_PoC_MVP_Phasen'!$B$7:$L$22,11,FALSE)*'04_PoC_MVP_Phasen'!$D$64</f>
        <v>37400</v>
      </c>
      <c r="D26" s="14">
        <f>VLOOKUP($B26,'04_PoC_MVP_Phasen'!$B$7:$L$22,11,FALSE)*'04_PoC_MVP_Phasen'!$D$66</f>
        <v>50599.999999999993</v>
      </c>
      <c r="E26" s="14">
        <f>VLOOKUP($B26,'04_PoC_MVP_Phasen'!$B$7:$L$22,11,FALSE)*'04_PoC_MVP_Phasen'!$D$67</f>
        <v>52800</v>
      </c>
      <c r="F26" s="14">
        <f>VLOOKUP($B26,'04_PoC_MVP_Phasen'!$B$7:$L$22,11,FALSE)*'04_PoC_MVP_Phasen'!$D$65</f>
        <v>44000</v>
      </c>
      <c r="G26" s="14">
        <f>VLOOKUP($B26,'04_PoC_MVP_Phasen'!$B$7:$L$22,11,FALSE)*'04_PoC_MVP_Phasen'!$D$68</f>
        <v>48400.000000000007</v>
      </c>
      <c r="H26" s="9" t="s">
        <v>280</v>
      </c>
    </row>
    <row r="27" spans="2:9" ht="21.75" customHeight="1" x14ac:dyDescent="0.2">
      <c r="B27" s="10" t="s">
        <v>845</v>
      </c>
      <c r="C27" s="14">
        <f>VLOOKUP($B27,'04_PoC_MVP_Phasen'!$B$7:$L$22,11,FALSE)*'04_PoC_MVP_Phasen'!$D$64</f>
        <v>8500</v>
      </c>
      <c r="D27" s="14">
        <f>VLOOKUP($B27,'04_PoC_MVP_Phasen'!$B$7:$L$22,11,FALSE)*'04_PoC_MVP_Phasen'!$D$66</f>
        <v>11500</v>
      </c>
      <c r="E27" s="14">
        <f>VLOOKUP($B27,'04_PoC_MVP_Phasen'!$B$7:$L$22,11,FALSE)*'04_PoC_MVP_Phasen'!$D$67</f>
        <v>12000</v>
      </c>
      <c r="F27" s="14">
        <f>VLOOKUP($B27,'04_PoC_MVP_Phasen'!$B$7:$L$22,11,FALSE)*'04_PoC_MVP_Phasen'!$D$65</f>
        <v>10000</v>
      </c>
      <c r="G27" s="14">
        <f>VLOOKUP($B27,'04_PoC_MVP_Phasen'!$B$7:$L$22,11,FALSE)*'04_PoC_MVP_Phasen'!$D$68</f>
        <v>11000</v>
      </c>
      <c r="H27" s="9" t="s">
        <v>281</v>
      </c>
    </row>
    <row r="28" spans="2:9" ht="21.75" customHeight="1" x14ac:dyDescent="0.2">
      <c r="B28" s="10" t="s">
        <v>1070</v>
      </c>
      <c r="C28" s="14">
        <f>VLOOKUP($B28,'04_PoC_MVP_Phasen'!$B$7:$L$22,11,FALSE)*'04_PoC_MVP_Phasen'!$D$64</f>
        <v>5100</v>
      </c>
      <c r="D28" s="14">
        <f>VLOOKUP($B28,'04_PoC_MVP_Phasen'!$B$7:$L$22,11,FALSE)*'04_PoC_MVP_Phasen'!$D$66</f>
        <v>6899.9999999999991</v>
      </c>
      <c r="E28" s="14">
        <f>VLOOKUP($B28,'04_PoC_MVP_Phasen'!$B$7:$L$22,11,FALSE)*'04_PoC_MVP_Phasen'!$D$67</f>
        <v>7200</v>
      </c>
      <c r="F28" s="14">
        <f>VLOOKUP($B28,'04_PoC_MVP_Phasen'!$B$7:$L$22,11,FALSE)*'04_PoC_MVP_Phasen'!$D$65</f>
        <v>6000</v>
      </c>
      <c r="G28" s="14">
        <f>VLOOKUP($B28,'04_PoC_MVP_Phasen'!$B$7:$L$22,11,FALSE)*'04_PoC_MVP_Phasen'!$D$68</f>
        <v>6600.0000000000009</v>
      </c>
      <c r="H28" s="9" t="s">
        <v>282</v>
      </c>
    </row>
    <row r="29" spans="2:9" ht="15" customHeight="1" x14ac:dyDescent="0.2">
      <c r="B29" s="1"/>
      <c r="C29" s="1"/>
      <c r="D29" s="1"/>
      <c r="E29" s="1"/>
      <c r="F29" s="1"/>
      <c r="G29" s="1"/>
      <c r="H29" s="1"/>
    </row>
    <row r="30" spans="2:9" ht="30" customHeight="1" x14ac:dyDescent="0.2">
      <c r="B30" s="10" t="s">
        <v>283</v>
      </c>
      <c r="C30" s="40">
        <f>SUM('04_PoC_MVP_Phasen'!D22,'04_PoC_MVP_Phasen'!G22:J22)*'04_PoC_MVP_Phasen'!$D$64</f>
        <v>91.375</v>
      </c>
      <c r="D30" s="40">
        <f>SUM('04_PoC_MVP_Phasen'!D22,'04_PoC_MVP_Phasen'!G22:J22)*'04_PoC_MVP_Phasen'!$D$66</f>
        <v>123.62499999999999</v>
      </c>
      <c r="E30" s="40">
        <f>SUM('04_PoC_MVP_Phasen'!D22,'04_PoC_MVP_Phasen'!G22:J22)*'04_PoC_MVP_Phasen'!$D$67</f>
        <v>129</v>
      </c>
      <c r="F30" s="40">
        <f>SUM('04_PoC_MVP_Phasen'!D22,'04_PoC_MVP_Phasen'!G22:J22)*'04_PoC_MVP_Phasen'!$D$65</f>
        <v>107.5</v>
      </c>
      <c r="G30" s="40">
        <f>SUM('04_PoC_MVP_Phasen'!D22,'04_PoC_MVP_Phasen'!G22:J22)*'04_PoC_MVP_Phasen'!$D$68</f>
        <v>118.25000000000001</v>
      </c>
      <c r="H30" s="9" t="s">
        <v>284</v>
      </c>
    </row>
    <row r="31" spans="2:9" ht="30" customHeight="1" x14ac:dyDescent="0.2">
      <c r="B31" s="10" t="s">
        <v>285</v>
      </c>
      <c r="C31" s="40">
        <f>SUM('04_PoC_MVP_Phasen'!E22,'04_PoC_MVP_Phasen'!F22)*'04_PoC_MVP_Phasen'!$D$64</f>
        <v>34.85</v>
      </c>
      <c r="D31" s="40">
        <f>SUM('04_PoC_MVP_Phasen'!E22,'04_PoC_MVP_Phasen'!F22)*'04_PoC_MVP_Phasen'!$D$66</f>
        <v>47.15</v>
      </c>
      <c r="E31" s="40">
        <f>SUM('04_PoC_MVP_Phasen'!E22,'04_PoC_MVP_Phasen'!F22)*'04_PoC_MVP_Phasen'!$D$67</f>
        <v>49.199999999999996</v>
      </c>
      <c r="F31" s="40">
        <f>SUM('04_PoC_MVP_Phasen'!E22,'04_PoC_MVP_Phasen'!F22)*'04_PoC_MVP_Phasen'!$D$65</f>
        <v>41</v>
      </c>
      <c r="G31" s="40">
        <f>SUM('04_PoC_MVP_Phasen'!E22,'04_PoC_MVP_Phasen'!F22)*'04_PoC_MVP_Phasen'!$D$68</f>
        <v>45.1</v>
      </c>
      <c r="H31" s="9" t="s">
        <v>286</v>
      </c>
    </row>
    <row r="32" spans="2:9" ht="15.75" customHeight="1" x14ac:dyDescent="0.2">
      <c r="B32" s="10" t="s">
        <v>287</v>
      </c>
      <c r="C32" s="12">
        <f>SUM(C21:C28)</f>
        <v>182750</v>
      </c>
      <c r="D32" s="12">
        <f>SUM(D21:D28)</f>
        <v>247250</v>
      </c>
      <c r="E32" s="12">
        <f>SUM(E21:E28)</f>
        <v>258000</v>
      </c>
      <c r="F32" s="12">
        <f>SUM(F21:F28)</f>
        <v>215000</v>
      </c>
      <c r="G32" s="12">
        <f>SUM(G21:G28)</f>
        <v>236500</v>
      </c>
      <c r="H32" s="9" t="s">
        <v>288</v>
      </c>
    </row>
    <row r="33" spans="2:15" ht="45" customHeight="1" x14ac:dyDescent="0.2">
      <c r="B33" s="10" t="s">
        <v>1092</v>
      </c>
      <c r="C33" s="41">
        <f>IFERROR(MAX(2,ROUNDUP(C30/(2*25),0)),0)</f>
        <v>2</v>
      </c>
      <c r="D33" s="41">
        <f t="shared" ref="D33:G33" si="0">IFERROR(MAX(2,ROUNDUP(D30/(2*25),0)),0)</f>
        <v>3</v>
      </c>
      <c r="E33" s="41">
        <f t="shared" si="0"/>
        <v>3</v>
      </c>
      <c r="F33" s="41">
        <f t="shared" si="0"/>
        <v>3</v>
      </c>
      <c r="G33" s="41">
        <f t="shared" si="0"/>
        <v>3</v>
      </c>
      <c r="H33" s="9" t="s">
        <v>290</v>
      </c>
    </row>
    <row r="34" spans="2:15" ht="45" customHeight="1" x14ac:dyDescent="0.2">
      <c r="B34" s="10"/>
      <c r="C34" s="41"/>
      <c r="D34" s="41"/>
      <c r="E34" s="41"/>
      <c r="F34" s="41"/>
      <c r="G34" s="136"/>
      <c r="H34" s="9"/>
    </row>
    <row r="35" spans="2:15" x14ac:dyDescent="0.2">
      <c r="B35" s="177" t="s">
        <v>1093</v>
      </c>
      <c r="C35" s="177"/>
      <c r="D35" s="177"/>
      <c r="E35" s="177"/>
      <c r="F35" s="177"/>
      <c r="G35" s="177"/>
      <c r="H35" s="177"/>
    </row>
    <row r="36" spans="2:15" ht="45" customHeight="1" x14ac:dyDescent="0.2">
      <c r="B36" s="10" t="s">
        <v>1097</v>
      </c>
      <c r="C36" s="14">
        <f>'04_PoC_MVP_Phasen'!$L$30*'04_PoC_MVP_Phasen'!$D$64</f>
        <v>162180</v>
      </c>
      <c r="D36" s="14">
        <f>'04_PoC_MVP_Phasen'!$L$30*'04_PoC_MVP_Phasen'!$D$66</f>
        <v>219419.99999999997</v>
      </c>
      <c r="E36" s="14">
        <f>'04_PoC_MVP_Phasen'!$L$30*'04_PoC_MVP_Phasen'!$D$67</f>
        <v>228960</v>
      </c>
      <c r="F36" s="14">
        <f>'04_PoC_MVP_Phasen'!$L$30*'04_PoC_MVP_Phasen'!$D$65</f>
        <v>190800</v>
      </c>
      <c r="G36" s="14">
        <f>'04_PoC_MVP_Phasen'!$L$30*'04_PoC_MVP_Phasen'!$D$68</f>
        <v>209880.00000000003</v>
      </c>
      <c r="H36" s="9"/>
    </row>
    <row r="37" spans="2:15" ht="45" customHeight="1" x14ac:dyDescent="0.2">
      <c r="B37" s="10" t="s">
        <v>1094</v>
      </c>
      <c r="C37" s="14">
        <f>'04_PoC_MVP_Phasen'!$L$35*'04_PoC_MVP_Phasen'!$D$64</f>
        <v>100300</v>
      </c>
      <c r="D37" s="14">
        <f>'04_PoC_MVP_Phasen'!$L$35*'04_PoC_MVP_Phasen'!$D$66</f>
        <v>135700</v>
      </c>
      <c r="E37" s="14">
        <f>'04_PoC_MVP_Phasen'!$L$35*'04_PoC_MVP_Phasen'!$D$67</f>
        <v>141600</v>
      </c>
      <c r="F37" s="14">
        <f>'04_PoC_MVP_Phasen'!$L$35*'04_PoC_MVP_Phasen'!$D$65</f>
        <v>118000</v>
      </c>
      <c r="G37" s="14">
        <f>'04_PoC_MVP_Phasen'!$L$35*'04_PoC_MVP_Phasen'!$D$68</f>
        <v>129800.00000000001</v>
      </c>
      <c r="H37" s="9"/>
    </row>
    <row r="38" spans="2:15" ht="45" customHeight="1" x14ac:dyDescent="0.2">
      <c r="B38" s="10" t="s">
        <v>1095</v>
      </c>
      <c r="C38" s="14">
        <f>'04_PoC_MVP_Phasen'!$L$42*'04_PoC_MVP_Phasen'!$D$64</f>
        <v>205700</v>
      </c>
      <c r="D38" s="14">
        <f>'04_PoC_MVP_Phasen'!$L$42*'04_PoC_MVP_Phasen'!$D$66</f>
        <v>278300</v>
      </c>
      <c r="E38" s="14">
        <f>'04_PoC_MVP_Phasen'!$L$42*'04_PoC_MVP_Phasen'!$D$67</f>
        <v>290400</v>
      </c>
      <c r="F38" s="14">
        <f>'04_PoC_MVP_Phasen'!$L$42*'04_PoC_MVP_Phasen'!$D$65</f>
        <v>242000</v>
      </c>
      <c r="G38" s="14">
        <f>'04_PoC_MVP_Phasen'!$L$42*'04_PoC_MVP_Phasen'!$D$68</f>
        <v>266200</v>
      </c>
      <c r="H38" s="9"/>
    </row>
    <row r="39" spans="2:15" ht="45" customHeight="1" x14ac:dyDescent="0.2">
      <c r="B39" s="10" t="s">
        <v>1096</v>
      </c>
      <c r="C39" s="14">
        <f>'04_PoC_MVP_Phasen'!$L$51*'04_PoC_MVP_Phasen'!$D$64</f>
        <v>198900</v>
      </c>
      <c r="D39" s="14">
        <f>'04_PoC_MVP_Phasen'!$L$51*'04_PoC_MVP_Phasen'!$D$66</f>
        <v>269100</v>
      </c>
      <c r="E39" s="14">
        <f>'04_PoC_MVP_Phasen'!$L$51*'04_PoC_MVP_Phasen'!$D$67</f>
        <v>280800</v>
      </c>
      <c r="F39" s="14">
        <f>'04_PoC_MVP_Phasen'!$L$51*'04_PoC_MVP_Phasen'!$D$65</f>
        <v>234000</v>
      </c>
      <c r="G39" s="14">
        <f>'04_PoC_MVP_Phasen'!$L$51*'04_PoC_MVP_Phasen'!$D$68</f>
        <v>257400.00000000003</v>
      </c>
      <c r="H39" s="9"/>
      <c r="O39" s="185"/>
    </row>
    <row r="40" spans="2:15" ht="45" customHeight="1" x14ac:dyDescent="0.2">
      <c r="B40" s="10" t="s">
        <v>283</v>
      </c>
      <c r="C40" s="40">
        <f>SUM('04_PoC_MVP_Phasen'!D58,'04_PoC_MVP_Phasen'!G58:J58)*'04_PoC_MVP_Phasen'!D64</f>
        <v>303.78999999999996</v>
      </c>
      <c r="D40" s="40">
        <f>SUM('04_PoC_MVP_Phasen'!D58,'04_PoC_MVP_Phasen'!G58:J58)*'04_PoC_MVP_Phasen'!D66</f>
        <v>411.00999999999993</v>
      </c>
      <c r="E40" s="40">
        <f>SUM('04_PoC_MVP_Phasen'!D58,'04_PoC_MVP_Phasen'!G58:J58)*'04_PoC_MVP_Phasen'!D67</f>
        <v>428.87999999999994</v>
      </c>
      <c r="F40" s="40">
        <f>SUM('04_PoC_MVP_Phasen'!D58,'04_PoC_MVP_Phasen'!G58:J58)*'04_PoC_MVP_Phasen'!D65</f>
        <v>357.4</v>
      </c>
      <c r="G40" s="40">
        <f>SUM('04_PoC_MVP_Phasen'!D58,'04_PoC_MVP_Phasen'!G58:J58)*'04_PoC_MVP_Phasen'!D68</f>
        <v>393.14</v>
      </c>
      <c r="H40" s="9"/>
    </row>
    <row r="41" spans="2:15" ht="45" customHeight="1" x14ac:dyDescent="0.2">
      <c r="B41" s="10" t="s">
        <v>285</v>
      </c>
      <c r="C41" s="40">
        <f>SUM('04_PoC_MVP_Phasen'!E58:F58)*'04_PoC_MVP_Phasen'!D64</f>
        <v>110.5</v>
      </c>
      <c r="D41" s="40">
        <f>SUM('04_PoC_MVP_Phasen'!E58:F58)*'04_PoC_MVP_Phasen'!D66</f>
        <v>149.5</v>
      </c>
      <c r="E41" s="40">
        <f>SUM('04_PoC_MVP_Phasen'!E58:F58)*'04_PoC_MVP_Phasen'!D67</f>
        <v>156</v>
      </c>
      <c r="F41" s="40">
        <f>SUM('04_PoC_MVP_Phasen'!E58:F58)*'04_PoC_MVP_Phasen'!D65</f>
        <v>130</v>
      </c>
      <c r="G41" s="40">
        <f>SUM('04_PoC_MVP_Phasen'!E58:F58)*'04_PoC_MVP_Phasen'!D68</f>
        <v>143</v>
      </c>
      <c r="H41" s="9"/>
      <c r="I41" s="136"/>
      <c r="O41" s="185"/>
    </row>
    <row r="42" spans="2:15" ht="45" customHeight="1" x14ac:dyDescent="0.2">
      <c r="B42" s="10" t="s">
        <v>287</v>
      </c>
      <c r="C42" s="14">
        <f>SUM(C36:C39)</f>
        <v>667080</v>
      </c>
      <c r="D42" s="14">
        <f>SUM(D36:D39)</f>
        <v>902520</v>
      </c>
      <c r="E42" s="14">
        <f t="shared" ref="E42:G42" si="1">SUM(E36:E39)</f>
        <v>941760</v>
      </c>
      <c r="F42" s="14">
        <f t="shared" si="1"/>
        <v>784800</v>
      </c>
      <c r="G42" s="14">
        <f t="shared" si="1"/>
        <v>863280</v>
      </c>
      <c r="H42" s="9"/>
    </row>
    <row r="43" spans="2:15" ht="45" customHeight="1" x14ac:dyDescent="0.2">
      <c r="B43" s="10" t="s">
        <v>289</v>
      </c>
      <c r="C43" s="41">
        <f>IFERROR(MAX(2,ROUNDUP(C40/(1.5*25),0)),0)</f>
        <v>9</v>
      </c>
      <c r="D43" s="41">
        <f t="shared" ref="D43:G43" si="2">IFERROR(MAX(2,ROUNDUP(D40/(1.5*25),0)),0)</f>
        <v>11</v>
      </c>
      <c r="E43" s="41">
        <f t="shared" si="2"/>
        <v>12</v>
      </c>
      <c r="F43" s="41">
        <f t="shared" si="2"/>
        <v>10</v>
      </c>
      <c r="G43" s="41">
        <f t="shared" si="2"/>
        <v>11</v>
      </c>
      <c r="H43" s="9"/>
    </row>
    <row r="44" spans="2:15" ht="15" customHeight="1" x14ac:dyDescent="0.2">
      <c r="B44" s="1"/>
      <c r="C44" s="1"/>
      <c r="D44" s="1"/>
      <c r="E44" s="1"/>
      <c r="F44" s="1"/>
      <c r="H44" s="1"/>
      <c r="I44" s="86"/>
    </row>
    <row r="45" spans="2:15" ht="15" customHeight="1" x14ac:dyDescent="0.2">
      <c r="B45" s="157" t="s">
        <v>291</v>
      </c>
      <c r="C45" s="157"/>
      <c r="D45" s="157"/>
      <c r="E45" s="157"/>
      <c r="F45" s="157"/>
      <c r="G45" s="157"/>
      <c r="H45" s="157"/>
      <c r="I45" s="137"/>
    </row>
    <row r="46" spans="2:15" ht="31.5" customHeight="1" x14ac:dyDescent="0.2">
      <c r="B46" s="6" t="s">
        <v>274</v>
      </c>
      <c r="C46" s="6" t="s">
        <v>10</v>
      </c>
      <c r="D46" s="6" t="s">
        <v>11</v>
      </c>
      <c r="E46" s="6" t="s">
        <v>12</v>
      </c>
      <c r="F46" s="6" t="s">
        <v>13</v>
      </c>
      <c r="G46" s="6" t="s">
        <v>1143</v>
      </c>
      <c r="H46" s="6" t="s">
        <v>24</v>
      </c>
      <c r="I46" s="138"/>
    </row>
    <row r="47" spans="2:15" ht="27.75" customHeight="1" x14ac:dyDescent="0.2">
      <c r="B47" s="10" t="s">
        <v>1080</v>
      </c>
      <c r="C47" s="14">
        <f>'03_SZENARIOS'!C20*'03_SZENARIOS'!C21*F9</f>
        <v>258569.62560000003</v>
      </c>
      <c r="D47" s="14">
        <f>(('03_SZENARIOS'!D$18/1000000)*$F$10)+(('03_SZENARIOS'!D$19/1000000)*$F$11)</f>
        <v>40989.162240000005</v>
      </c>
      <c r="E47" s="14">
        <f>(('03_SZENARIOS'!E$18/1000000)*$F$10)+(('03_SZENARIOS'!E$19/1000000)*$F$11)</f>
        <v>8197.832448000001</v>
      </c>
      <c r="F47" s="14">
        <f>(('03_SZENARIOS'!F$18/1000000)*$F$10)+(('03_SZENARIOS'!F$19/1000000)*$F$11)</f>
        <v>16395.664896000002</v>
      </c>
      <c r="G47" s="14">
        <f>(('03_SZENARIOS'!G$18/1000000)*$F$10)+(('03_SZENARIOS'!G$19/1000000)*$F$11)</f>
        <v>32791.329792000004</v>
      </c>
      <c r="H47" s="9" t="s">
        <v>292</v>
      </c>
      <c r="I47" s="86"/>
    </row>
    <row r="48" spans="2:15" ht="27.75" customHeight="1" x14ac:dyDescent="0.2">
      <c r="B48" s="10" t="s">
        <v>1079</v>
      </c>
      <c r="C48" s="14">
        <f>'03_SZENARIOS'!C22*12</f>
        <v>9900</v>
      </c>
      <c r="D48" s="14">
        <f>'03_SZENARIOS'!D22*12</f>
        <v>49645.200000000004</v>
      </c>
      <c r="E48" s="14">
        <f>'03_SZENARIOS'!E22*12</f>
        <v>14071.199999999999</v>
      </c>
      <c r="F48" s="14">
        <f>'03_SZENARIOS'!F22*12</f>
        <v>38478</v>
      </c>
      <c r="G48" s="14">
        <f>'03_SZENARIOS'!G22*12</f>
        <v>40854</v>
      </c>
      <c r="H48" s="9" t="s">
        <v>293</v>
      </c>
      <c r="I48" s="86"/>
    </row>
    <row r="49" spans="2:9" ht="21.75" customHeight="1" x14ac:dyDescent="0.2">
      <c r="B49" s="10" t="s">
        <v>223</v>
      </c>
      <c r="C49" s="14">
        <f>'03_SZENARIOS'!C9*'02_INPUTS'!D42*12</f>
        <v>50400</v>
      </c>
      <c r="D49" s="14">
        <f>'03_SZENARIOS'!D9*'02_INPUTS'!D42*12</f>
        <v>58800</v>
      </c>
      <c r="E49" s="14">
        <f>'03_SZENARIOS'!E9*'02_INPUTS'!D42*12</f>
        <v>67200</v>
      </c>
      <c r="F49" s="14">
        <f>'03_SZENARIOS'!F9*'02_INPUTS'!D42*12</f>
        <v>50400</v>
      </c>
      <c r="G49" s="14">
        <f>'03_SZENARIOS'!G9*'02_INPUTS'!D42*12</f>
        <v>58800</v>
      </c>
      <c r="H49" s="9" t="s">
        <v>294</v>
      </c>
      <c r="I49" s="86"/>
    </row>
    <row r="50" spans="2:9" ht="21.75" customHeight="1" x14ac:dyDescent="0.2">
      <c r="B50" s="10" t="s">
        <v>225</v>
      </c>
      <c r="C50" s="14">
        <f>'03_SZENARIOS'!C10*'02_INPUTS'!D44*12</f>
        <v>54600</v>
      </c>
      <c r="D50" s="14">
        <f>'03_SZENARIOS'!D10*'02_INPUTS'!D44*12</f>
        <v>54600</v>
      </c>
      <c r="E50" s="14">
        <f>'03_SZENARIOS'!E10*'02_INPUTS'!D44*12</f>
        <v>62400</v>
      </c>
      <c r="F50" s="14">
        <f>'03_SZENARIOS'!F10*'02_INPUTS'!D44*12</f>
        <v>54600</v>
      </c>
      <c r="G50" s="14">
        <f>'03_SZENARIOS'!G10*'02_INPUTS'!D44*12</f>
        <v>54600</v>
      </c>
      <c r="H50" s="9" t="s">
        <v>295</v>
      </c>
    </row>
    <row r="51" spans="2:9" ht="21.75" customHeight="1" x14ac:dyDescent="0.2">
      <c r="B51" s="10" t="s">
        <v>227</v>
      </c>
      <c r="C51" s="14">
        <f>'03_SZENARIOS'!C11*'02_INPUTS'!D43*12</f>
        <v>86400</v>
      </c>
      <c r="D51" s="14">
        <f>'03_SZENARIOS'!D11*'02_INPUTS'!D43*12</f>
        <v>108000</v>
      </c>
      <c r="E51" s="14">
        <f>'03_SZENARIOS'!E11*'02_INPUTS'!D43*12</f>
        <v>129600</v>
      </c>
      <c r="F51" s="14">
        <f>'03_SZENARIOS'!F11*'02_INPUTS'!D43*12</f>
        <v>86400</v>
      </c>
      <c r="G51" s="14">
        <f>'03_SZENARIOS'!G11*'02_INPUTS'!D43*12</f>
        <v>108000</v>
      </c>
      <c r="H51" s="9" t="s">
        <v>152</v>
      </c>
    </row>
    <row r="52" spans="2:9" ht="21.75" customHeight="1" x14ac:dyDescent="0.2">
      <c r="B52" s="10" t="s">
        <v>229</v>
      </c>
      <c r="C52" s="14">
        <f>'03_SZENARIOS'!C12*'02_INPUTS'!D42*12</f>
        <v>33600</v>
      </c>
      <c r="D52" s="14">
        <f>'03_SZENARIOS'!D12*'02_INPUTS'!D42*12</f>
        <v>42000</v>
      </c>
      <c r="E52" s="14">
        <f>'03_SZENARIOS'!E12*'02_INPUTS'!D42*12</f>
        <v>50400</v>
      </c>
      <c r="F52" s="14">
        <f>'03_SZENARIOS'!F12*'02_INPUTS'!D42*12</f>
        <v>33600</v>
      </c>
      <c r="G52" s="14">
        <f>'03_SZENARIOS'!G12*'02_INPUTS'!D42*12</f>
        <v>42000</v>
      </c>
      <c r="H52" s="9" t="s">
        <v>296</v>
      </c>
    </row>
    <row r="53" spans="2:9" ht="21.75" customHeight="1" x14ac:dyDescent="0.2">
      <c r="B53" s="10" t="s">
        <v>837</v>
      </c>
      <c r="C53" s="14">
        <f>'03_SZENARIOS'!C13*12</f>
        <v>24000</v>
      </c>
      <c r="D53" s="14">
        <f>'03_SZENARIOS'!D13*12</f>
        <v>30000</v>
      </c>
      <c r="E53" s="14">
        <f>'03_SZENARIOS'!E13*12</f>
        <v>18000</v>
      </c>
      <c r="F53" s="14">
        <f>'03_SZENARIOS'!F13*12</f>
        <v>18000</v>
      </c>
      <c r="G53" s="14">
        <f>'03_SZENARIOS'!G13*12</f>
        <v>18000</v>
      </c>
      <c r="H53" s="9" t="s">
        <v>297</v>
      </c>
    </row>
    <row r="54" spans="2:9" ht="21.75" customHeight="1" x14ac:dyDescent="0.2">
      <c r="B54" s="10" t="s">
        <v>231</v>
      </c>
      <c r="C54" s="14">
        <f>'03_SZENARIOS'!C14*'02_INPUTS'!D44*12</f>
        <v>31200</v>
      </c>
      <c r="D54" s="14">
        <f>'03_SZENARIOS'!D14*'02_INPUTS'!D44*12</f>
        <v>31200</v>
      </c>
      <c r="E54" s="14">
        <f>'03_SZENARIOS'!E14*'02_INPUTS'!D44*12</f>
        <v>39000</v>
      </c>
      <c r="F54" s="14">
        <f>'03_SZENARIOS'!F14*'02_INPUTS'!D44*12</f>
        <v>31200</v>
      </c>
      <c r="G54" s="14">
        <f>'03_SZENARIOS'!G14*'02_INPUTS'!D44*12</f>
        <v>31200</v>
      </c>
      <c r="H54" s="9" t="s">
        <v>298</v>
      </c>
    </row>
    <row r="55" spans="2:9" ht="15.75" customHeight="1" x14ac:dyDescent="0.2">
      <c r="B55" s="10" t="s">
        <v>299</v>
      </c>
      <c r="C55" s="12">
        <f>SUM(C47:C54)</f>
        <v>548669.62560000003</v>
      </c>
      <c r="D55" s="12">
        <f>SUM(D47:D54)</f>
        <v>415234.36224000005</v>
      </c>
      <c r="E55" s="12">
        <f>SUM(E47:E54)</f>
        <v>388869.03244799998</v>
      </c>
      <c r="F55" s="12">
        <f>SUM(F47:F54)</f>
        <v>329073.664896</v>
      </c>
      <c r="G55" s="12">
        <f>SUM(G47:G54)</f>
        <v>386245.329792</v>
      </c>
      <c r="H55" s="9" t="s">
        <v>300</v>
      </c>
    </row>
    <row r="56" spans="2:9" ht="15" customHeight="1" x14ac:dyDescent="0.2">
      <c r="B56" s="1"/>
      <c r="C56" s="1"/>
      <c r="D56" s="1"/>
      <c r="E56" s="1"/>
      <c r="F56" s="1"/>
      <c r="H56" s="1"/>
      <c r="I56" s="1"/>
    </row>
    <row r="57" spans="2:9" ht="15" customHeight="1" x14ac:dyDescent="0.2">
      <c r="B57" s="157" t="s">
        <v>301</v>
      </c>
      <c r="C57" s="157"/>
      <c r="D57" s="157"/>
      <c r="E57" s="157"/>
      <c r="F57" s="157"/>
      <c r="G57" s="157"/>
      <c r="H57" s="157"/>
      <c r="I57" s="157"/>
    </row>
    <row r="58" spans="2:9" ht="15.75" customHeight="1" x14ac:dyDescent="0.2">
      <c r="B58" s="6" t="s">
        <v>302</v>
      </c>
      <c r="C58" s="6" t="s">
        <v>251</v>
      </c>
      <c r="D58" s="6" t="s">
        <v>65</v>
      </c>
      <c r="E58" s="6" t="s">
        <v>66</v>
      </c>
      <c r="F58" s="6" t="s">
        <v>67</v>
      </c>
      <c r="G58" s="6" t="s">
        <v>68</v>
      </c>
      <c r="H58" s="6" t="s">
        <v>303</v>
      </c>
      <c r="I58" s="1" t="s">
        <v>24</v>
      </c>
    </row>
    <row r="59" spans="2:9" ht="30" customHeight="1" x14ac:dyDescent="0.2">
      <c r="B59" s="10" t="s">
        <v>10</v>
      </c>
      <c r="C59" s="14">
        <f>(C47*C7/F7)+SUM(C48:C54)</f>
        <v>390654.85440000001</v>
      </c>
      <c r="D59" s="14">
        <f>($C$47*D7/$F$7)+SUM($C$48:$C$54)</f>
        <v>462479.75040000002</v>
      </c>
      <c r="E59" s="14">
        <f>($C$47*E7/$F$7)+SUM($C$48:$C$54)</f>
        <v>505574.68800000002</v>
      </c>
      <c r="F59" s="14">
        <f t="shared" ref="F59:G59" si="3">($C$47*F7/$F$7)+SUM($C$48:$C$54)</f>
        <v>548669.62560000003</v>
      </c>
      <c r="G59" s="14">
        <f t="shared" si="3"/>
        <v>548669.62560000003</v>
      </c>
      <c r="H59" s="42">
        <f>SUM(C59:G59)</f>
        <v>2456048.5440000002</v>
      </c>
      <c r="I59" s="9" t="s">
        <v>304</v>
      </c>
    </row>
    <row r="60" spans="2:9" ht="30" customHeight="1" x14ac:dyDescent="0.2">
      <c r="B60" s="10" t="s">
        <v>11</v>
      </c>
      <c r="C60" s="14">
        <f>(D47*C7/F7)+SUM(D48:D54)</f>
        <v>390185.42976000003</v>
      </c>
      <c r="D60" s="14">
        <f>($D$47*D7/$F$7)+SUM($D$48:$D$54)</f>
        <v>401571.30816000002</v>
      </c>
      <c r="E60" s="14">
        <f t="shared" ref="E60:G60" si="4">($D$47*E7/$F$7)+SUM($D$48:$D$54)</f>
        <v>408402.83520000003</v>
      </c>
      <c r="F60" s="14">
        <f t="shared" si="4"/>
        <v>415234.36224000005</v>
      </c>
      <c r="G60" s="14">
        <f t="shared" si="4"/>
        <v>415234.36224000005</v>
      </c>
      <c r="H60" s="42">
        <f>SUM(C60:G60)</f>
        <v>2030628.2976000002</v>
      </c>
      <c r="I60" s="9" t="s">
        <v>305</v>
      </c>
    </row>
    <row r="61" spans="2:9" ht="31.5" customHeight="1" x14ac:dyDescent="0.2">
      <c r="B61" s="10" t="s">
        <v>12</v>
      </c>
      <c r="C61" s="14">
        <f>(E47*C7/F7)+SUM(E48:E54)</f>
        <v>383859.24595200003</v>
      </c>
      <c r="D61" s="14">
        <f>($E$47*D7/$F$7)+SUM($E$48:$E$54)</f>
        <v>386136.42163200001</v>
      </c>
      <c r="E61" s="14">
        <f t="shared" ref="E61:G61" si="5">($E$47*E7/$F$7)+SUM($E$48:$E$54)</f>
        <v>387502.72704000003</v>
      </c>
      <c r="F61" s="14">
        <f t="shared" si="5"/>
        <v>388869.03244800004</v>
      </c>
      <c r="G61" s="14">
        <f t="shared" si="5"/>
        <v>388869.03244800004</v>
      </c>
      <c r="H61" s="42">
        <f>SUM(C61:G61)</f>
        <v>1935236.45952</v>
      </c>
      <c r="I61" s="9" t="s">
        <v>306</v>
      </c>
    </row>
    <row r="62" spans="2:9" ht="21.75" customHeight="1" x14ac:dyDescent="0.2">
      <c r="B62" s="10" t="s">
        <v>13</v>
      </c>
      <c r="C62" s="14">
        <f>(F47*C7/F7)+SUM(F48:F54)</f>
        <v>319054.09190399997</v>
      </c>
      <c r="D62" s="14">
        <f>($F$47*D7/$F$7)+SUM($F$48:$F$54)</f>
        <v>323608.443264</v>
      </c>
      <c r="E62" s="14">
        <f t="shared" ref="E62:G62" si="6">($F$47*E7/$F$7)+SUM($F$48:$F$54)</f>
        <v>326341.05408000003</v>
      </c>
      <c r="F62" s="14">
        <f t="shared" si="6"/>
        <v>329073.664896</v>
      </c>
      <c r="G62" s="14">
        <f t="shared" si="6"/>
        <v>329073.664896</v>
      </c>
      <c r="H62" s="42">
        <f>SUM(C62:G62)</f>
        <v>1627150.9190400001</v>
      </c>
      <c r="I62" s="9" t="s">
        <v>307</v>
      </c>
    </row>
    <row r="63" spans="2:9" ht="15" customHeight="1" x14ac:dyDescent="0.2">
      <c r="B63" t="s">
        <v>1143</v>
      </c>
      <c r="C63" s="14">
        <f>(G47*C7/F7)+SUM(G48:G54)</f>
        <v>366206.183808</v>
      </c>
      <c r="D63" s="14">
        <f>($G$47*D7/$F$7)+SUM($G$48:$G$54)</f>
        <v>375314.886528</v>
      </c>
      <c r="E63" s="14">
        <f t="shared" ref="E63:G63" si="7">($G$47*E7/$F$7)+SUM($G$48:$G$54)</f>
        <v>380780.10816</v>
      </c>
      <c r="F63" s="14">
        <f t="shared" si="7"/>
        <v>386245.329792</v>
      </c>
      <c r="G63" s="14">
        <f t="shared" si="7"/>
        <v>386245.329792</v>
      </c>
      <c r="H63" s="42">
        <f>SUM(C63:G63)</f>
        <v>1894791.8380800001</v>
      </c>
      <c r="I63" s="9" t="s">
        <v>308</v>
      </c>
    </row>
    <row r="64" spans="2:9" ht="15" customHeight="1" x14ac:dyDescent="0.2">
      <c r="B64" s="174"/>
      <c r="C64" s="174"/>
      <c r="D64" s="174"/>
      <c r="E64" s="174"/>
      <c r="F64" s="174"/>
      <c r="G64" s="174"/>
      <c r="H64" s="174"/>
      <c r="I64" s="175"/>
    </row>
    <row r="65" spans="2:8" ht="31.5" customHeight="1" x14ac:dyDescent="0.2">
      <c r="B65" s="176" t="s">
        <v>309</v>
      </c>
      <c r="C65" s="176"/>
      <c r="D65" s="176"/>
      <c r="E65" s="176"/>
      <c r="F65" s="176"/>
      <c r="G65" s="176"/>
      <c r="H65" s="176"/>
    </row>
    <row r="66" spans="2:8" ht="21.75" customHeight="1" x14ac:dyDescent="0.2">
      <c r="B66" s="6" t="s">
        <v>21</v>
      </c>
      <c r="C66" s="6" t="s">
        <v>10</v>
      </c>
      <c r="D66" s="6" t="s">
        <v>11</v>
      </c>
      <c r="E66" s="6" t="s">
        <v>12</v>
      </c>
      <c r="F66" s="6" t="s">
        <v>13</v>
      </c>
      <c r="G66" s="6" t="s">
        <v>1143</v>
      </c>
      <c r="H66" s="6" t="s">
        <v>24</v>
      </c>
    </row>
    <row r="67" spans="2:8" ht="21.75" customHeight="1" x14ac:dyDescent="0.2">
      <c r="B67" s="10" t="s">
        <v>310</v>
      </c>
      <c r="C67" s="12">
        <f>C32+C42</f>
        <v>849830</v>
      </c>
      <c r="D67" s="12">
        <f>D32+D42</f>
        <v>1149770</v>
      </c>
      <c r="E67" s="12">
        <f t="shared" ref="D67:G67" si="8">E32+E42</f>
        <v>1199760</v>
      </c>
      <c r="F67" s="12">
        <f t="shared" si="8"/>
        <v>999800</v>
      </c>
      <c r="G67" s="12">
        <f t="shared" si="8"/>
        <v>1099780</v>
      </c>
      <c r="H67" s="9" t="s">
        <v>311</v>
      </c>
    </row>
    <row r="68" spans="2:8" ht="21.75" customHeight="1" x14ac:dyDescent="0.2">
      <c r="B68" s="10" t="s">
        <v>303</v>
      </c>
      <c r="C68" s="12">
        <f>H59</f>
        <v>2456048.5440000002</v>
      </c>
      <c r="D68" s="12">
        <f>H60</f>
        <v>2030628.2976000002</v>
      </c>
      <c r="E68" s="12">
        <f>H61</f>
        <v>1935236.45952</v>
      </c>
      <c r="F68" s="12">
        <f>H62</f>
        <v>1627150.9190400001</v>
      </c>
      <c r="G68" s="12">
        <f>H63</f>
        <v>1894791.8380800001</v>
      </c>
      <c r="H68" s="9" t="s">
        <v>312</v>
      </c>
    </row>
    <row r="69" spans="2:8" ht="21.75" customHeight="1" x14ac:dyDescent="0.2">
      <c r="B69" s="10" t="s">
        <v>33</v>
      </c>
      <c r="C69" s="12">
        <f>C67+C68</f>
        <v>3305878.5440000002</v>
      </c>
      <c r="D69" s="12">
        <f>D67+D68</f>
        <v>3180398.2976000002</v>
      </c>
      <c r="E69" s="12">
        <f>E67+E68</f>
        <v>3134996.45952</v>
      </c>
      <c r="F69" s="12">
        <f>F67+F68</f>
        <v>2626950.9190400001</v>
      </c>
      <c r="G69" s="12">
        <f>G67+G68</f>
        <v>2994571.8380800001</v>
      </c>
      <c r="H69" s="9" t="s">
        <v>313</v>
      </c>
    </row>
    <row r="70" spans="2:8" ht="15" customHeight="1" x14ac:dyDescent="0.2">
      <c r="B70" s="10" t="s">
        <v>31</v>
      </c>
      <c r="C70" s="12">
        <f>C55</f>
        <v>548669.62560000003</v>
      </c>
      <c r="D70" s="12">
        <f>D55</f>
        <v>415234.36224000005</v>
      </c>
      <c r="E70" s="12">
        <f>E55</f>
        <v>388869.03244799998</v>
      </c>
      <c r="F70" s="12">
        <f>F55</f>
        <v>329073.664896</v>
      </c>
      <c r="G70" s="12">
        <f>G55</f>
        <v>386245.329792</v>
      </c>
      <c r="H70" s="9" t="s">
        <v>314</v>
      </c>
    </row>
  </sheetData>
  <mergeCells count="9">
    <mergeCell ref="B64:I64"/>
    <mergeCell ref="B65:H65"/>
    <mergeCell ref="B20:H20"/>
    <mergeCell ref="B35:H35"/>
    <mergeCell ref="B2:H2"/>
    <mergeCell ref="B57:I57"/>
    <mergeCell ref="B45:H45"/>
    <mergeCell ref="B18:H18"/>
    <mergeCell ref="B4:H4"/>
  </mergeCell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G46"/>
  <sheetViews>
    <sheetView showGridLines="0" topLeftCell="A34" zoomScale="120" zoomScaleNormal="120" workbookViewId="0">
      <selection activeCell="O27" sqref="O27"/>
    </sheetView>
  </sheetViews>
  <sheetFormatPr baseColWidth="10" defaultColWidth="8.83203125" defaultRowHeight="15" x14ac:dyDescent="0.2"/>
  <cols>
    <col min="1" max="1" width="8.83203125" style="61"/>
    <col min="2" max="2" width="34" style="61" customWidth="1"/>
    <col min="3" max="6" width="18" style="61" customWidth="1"/>
    <col min="7" max="7" width="16" style="61" customWidth="1"/>
    <col min="8" max="8" width="14" style="61" customWidth="1"/>
    <col min="9" max="9" width="42" style="61" customWidth="1"/>
    <col min="10" max="10" width="16" style="61" customWidth="1"/>
    <col min="11" max="33" width="16.1640625" style="61" customWidth="1"/>
    <col min="34" max="16384" width="8.83203125" style="61"/>
  </cols>
  <sheetData>
    <row r="2" spans="2:10" ht="24" customHeight="1" x14ac:dyDescent="0.2">
      <c r="B2" s="183" t="s">
        <v>315</v>
      </c>
      <c r="C2" s="183"/>
      <c r="D2" s="183"/>
      <c r="E2" s="183"/>
      <c r="F2" s="183"/>
      <c r="G2" s="183"/>
      <c r="H2" s="183"/>
      <c r="I2" s="183"/>
    </row>
    <row r="4" spans="2:10" ht="15" customHeight="1" x14ac:dyDescent="0.2">
      <c r="B4" s="178" t="s">
        <v>316</v>
      </c>
      <c r="C4" s="178"/>
      <c r="D4" s="178"/>
      <c r="E4" s="178"/>
      <c r="F4" s="178"/>
      <c r="G4" s="178"/>
      <c r="H4" s="178"/>
      <c r="I4" s="178"/>
      <c r="J4" s="178"/>
    </row>
    <row r="5" spans="2:10" ht="31.5" customHeight="1" x14ac:dyDescent="0.2">
      <c r="B5" s="62" t="s">
        <v>317</v>
      </c>
      <c r="C5" s="62" t="s">
        <v>318</v>
      </c>
      <c r="D5" s="62" t="s">
        <v>319</v>
      </c>
      <c r="E5" s="62" t="s">
        <v>320</v>
      </c>
      <c r="F5" s="62" t="s">
        <v>321</v>
      </c>
      <c r="G5" s="62" t="s">
        <v>322</v>
      </c>
      <c r="H5" s="62" t="s">
        <v>323</v>
      </c>
      <c r="I5" s="62" t="s">
        <v>24</v>
      </c>
      <c r="J5" s="63"/>
    </row>
    <row r="6" spans="2:10" ht="15.75" customHeight="1" x14ac:dyDescent="0.2">
      <c r="B6" s="64" t="s">
        <v>324</v>
      </c>
      <c r="C6" s="65">
        <f>IF('02_INPUTS'!D54&gt;0,'02_INPUTS'!D54,'02_INPUTS'!D50*'02_INPUTS'!D51)</f>
        <v>13400</v>
      </c>
      <c r="D6" s="66">
        <f>C6*'02_INPUTS'!D52/60*'02_INPUTS'!D39</f>
        <v>282516.66666666669</v>
      </c>
      <c r="E6" s="66">
        <v>281000</v>
      </c>
      <c r="F6" s="67">
        <f>IF(D6&gt;0,D6,C6)</f>
        <v>282516.66666666669</v>
      </c>
      <c r="G6" s="68">
        <f>C6*'02_INPUTS'!D52/60</f>
        <v>5136.666666666667</v>
      </c>
      <c r="H6" s="69">
        <f>G6/'02_INPUTS'!D41</f>
        <v>2.8537037037037041</v>
      </c>
      <c r="I6" s="70" t="s">
        <v>325</v>
      </c>
      <c r="J6" s="63"/>
    </row>
    <row r="7" spans="2:10" ht="31.5" customHeight="1" x14ac:dyDescent="0.2">
      <c r="B7" s="64" t="s">
        <v>326</v>
      </c>
      <c r="C7" s="71">
        <f>'02_INPUTS'!D50</f>
        <v>50690</v>
      </c>
      <c r="D7" s="66">
        <f>C7*'02_INPUTS'!D53/60*'02_INPUTS'!D40</f>
        <v>101380</v>
      </c>
      <c r="E7" s="66">
        <v>97620</v>
      </c>
      <c r="F7" s="67">
        <f>IF(D7&gt;0,D7,C7)</f>
        <v>101380</v>
      </c>
      <c r="G7" s="68">
        <f>C7*'02_INPUTS'!D53/60</f>
        <v>1689.6666666666667</v>
      </c>
      <c r="H7" s="69">
        <f>G7/'02_INPUTS'!D41</f>
        <v>0.93870370370370371</v>
      </c>
      <c r="I7" s="70" t="s">
        <v>327</v>
      </c>
      <c r="J7" s="63"/>
    </row>
    <row r="8" spans="2:10" ht="15.75" customHeight="1" x14ac:dyDescent="0.2">
      <c r="B8" s="64" t="s">
        <v>328</v>
      </c>
      <c r="C8" s="65">
        <f>IF('02_INPUTS'!D62&gt;0,'02_INPUTS'!D62,'02_INPUTS'!D59*'02_INPUTS'!D61)</f>
        <v>20475</v>
      </c>
      <c r="D8" s="66">
        <f>IF('02_INPUTS'!D62&gt;0,C8*('02_INPUTS'!D60/'02_INPUTS'!D59),'02_INPUTS'!D60*'02_INPUTS'!D61)</f>
        <v>562867.65375345887</v>
      </c>
      <c r="E8" s="66">
        <f>'02_INPUTS'!D63</f>
        <v>697289</v>
      </c>
      <c r="F8" s="67">
        <f>IF(D8&gt;0,D8,C8)</f>
        <v>562867.65375345887</v>
      </c>
      <c r="G8" s="72">
        <v>0</v>
      </c>
      <c r="H8" s="69">
        <f>G8/'02_INPUTS'!D41</f>
        <v>0</v>
      </c>
      <c r="I8" s="70" t="s">
        <v>329</v>
      </c>
      <c r="J8" s="63"/>
    </row>
    <row r="9" spans="2:10" ht="15.75" customHeight="1" x14ac:dyDescent="0.2">
      <c r="B9" s="64" t="s">
        <v>330</v>
      </c>
      <c r="C9" s="65">
        <f>IF('02_INPUTS'!D55&gt;0,'02_INPUTS'!D55,0)</f>
        <v>40620</v>
      </c>
      <c r="D9" s="66">
        <f>C9*'02_INPUTS'!D56/60*'02_INPUTS'!D40</f>
        <v>406200</v>
      </c>
      <c r="E9" s="66">
        <v>406200</v>
      </c>
      <c r="F9" s="67">
        <f>IF(D9&gt;0,D9,C9)</f>
        <v>406200</v>
      </c>
      <c r="G9" s="68">
        <f>C9*'02_INPUTS'!D56/60</f>
        <v>6770</v>
      </c>
      <c r="H9" s="69">
        <f>G9/'02_INPUTS'!D41</f>
        <v>3.7611111111111111</v>
      </c>
      <c r="I9" s="70" t="s">
        <v>331</v>
      </c>
      <c r="J9" s="63"/>
    </row>
    <row r="10" spans="2:10" ht="31.5" customHeight="1" x14ac:dyDescent="0.2">
      <c r="B10" s="64" t="s">
        <v>332</v>
      </c>
      <c r="C10" s="65">
        <f>IF('02_INPUTS'!D58&gt;0,'02_INPUTS'!D58,MAX('02_INPUTS'!D48-C9,0))</f>
        <v>162480</v>
      </c>
      <c r="D10" s="66">
        <f>C10*'02_INPUTS'!D56*'02_INPUTS'!D57/60*'02_INPUTS'!D40</f>
        <v>541058.4</v>
      </c>
      <c r="E10" s="66">
        <v>541080</v>
      </c>
      <c r="F10" s="67">
        <f>IF(D10&gt;0,D10,C10)</f>
        <v>541058.4</v>
      </c>
      <c r="G10" s="68">
        <f>C10*'02_INPUTS'!D56*'02_INPUTS'!D57/60</f>
        <v>9017.6400000000012</v>
      </c>
      <c r="H10" s="69">
        <f>G10/'02_INPUTS'!D41</f>
        <v>5.0098000000000003</v>
      </c>
      <c r="I10" s="70" t="s">
        <v>333</v>
      </c>
      <c r="J10" s="63"/>
    </row>
    <row r="11" spans="2:10" ht="15.75" customHeight="1" x14ac:dyDescent="0.2">
      <c r="B11" s="64" t="s">
        <v>334</v>
      </c>
      <c r="C11" s="63"/>
      <c r="D11" s="63"/>
      <c r="E11" s="63"/>
      <c r="F11" s="73">
        <f>SUM(F6:F10)</f>
        <v>1894022.7204201254</v>
      </c>
      <c r="G11" s="63"/>
      <c r="H11" s="63"/>
      <c r="I11" s="70" t="s">
        <v>335</v>
      </c>
      <c r="J11" s="63"/>
    </row>
    <row r="12" spans="2:10" ht="15.75" customHeight="1" x14ac:dyDescent="0.2">
      <c r="B12" s="64" t="s">
        <v>186</v>
      </c>
      <c r="C12" s="63"/>
      <c r="D12" s="63"/>
      <c r="E12" s="63"/>
      <c r="F12" s="74">
        <f>'02_INPUTS'!D64</f>
        <v>0.75</v>
      </c>
      <c r="G12" s="63"/>
      <c r="H12" s="63"/>
      <c r="I12" s="70" t="s">
        <v>336</v>
      </c>
      <c r="J12" s="63"/>
    </row>
    <row r="13" spans="2:10" ht="15.75" customHeight="1" x14ac:dyDescent="0.2">
      <c r="B13" s="64" t="s">
        <v>337</v>
      </c>
      <c r="C13" s="63"/>
      <c r="D13" s="63"/>
      <c r="E13" s="63"/>
      <c r="F13" s="73">
        <f>F11*F12</f>
        <v>1420517.0403150939</v>
      </c>
      <c r="G13" s="63"/>
      <c r="H13" s="63"/>
      <c r="I13" s="70" t="s">
        <v>338</v>
      </c>
      <c r="J13" s="63"/>
    </row>
    <row r="14" spans="2:10" ht="15.75" customHeight="1" x14ac:dyDescent="0.2">
      <c r="B14" s="64" t="s">
        <v>339</v>
      </c>
      <c r="C14" s="63"/>
      <c r="D14" s="63"/>
      <c r="E14" s="63"/>
      <c r="F14" s="75">
        <f>SUM(G6:G10)</f>
        <v>22613.973333333335</v>
      </c>
      <c r="G14" s="63"/>
      <c r="H14" s="63"/>
      <c r="I14" s="70" t="s">
        <v>340</v>
      </c>
      <c r="J14" s="63"/>
    </row>
    <row r="15" spans="2:10" ht="15.75" customHeight="1" x14ac:dyDescent="0.2">
      <c r="B15" s="64" t="s">
        <v>341</v>
      </c>
      <c r="C15" s="63"/>
      <c r="D15" s="63"/>
      <c r="E15" s="63"/>
      <c r="F15" s="76">
        <f>SUM(H6:H10)</f>
        <v>12.563318518518519</v>
      </c>
      <c r="G15" s="63"/>
      <c r="H15" s="77">
        <f>SUM(H6:H10)</f>
        <v>12.563318518518519</v>
      </c>
      <c r="I15" s="70" t="s">
        <v>342</v>
      </c>
      <c r="J15" s="63"/>
    </row>
    <row r="16" spans="2:10" ht="15" customHeight="1" x14ac:dyDescent="0.2">
      <c r="B16" s="63"/>
      <c r="C16" s="63"/>
      <c r="D16" s="63"/>
      <c r="E16" s="63"/>
      <c r="F16" s="63"/>
      <c r="G16" s="63"/>
      <c r="H16" s="63"/>
      <c r="I16" s="63"/>
      <c r="J16" s="63"/>
    </row>
    <row r="17" spans="2:33" ht="15" customHeight="1" x14ac:dyDescent="0.2">
      <c r="B17" s="63"/>
      <c r="C17" s="63"/>
      <c r="D17" s="63"/>
      <c r="E17" s="63"/>
      <c r="F17" s="63"/>
      <c r="G17" s="63"/>
      <c r="H17" s="63"/>
      <c r="I17" s="63"/>
      <c r="J17" s="63"/>
    </row>
    <row r="18" spans="2:33" ht="15" customHeight="1" x14ac:dyDescent="0.2">
      <c r="B18" s="182" t="s">
        <v>343</v>
      </c>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c r="AC18" s="182"/>
      <c r="AD18" s="182"/>
      <c r="AE18" s="182"/>
      <c r="AF18" s="182"/>
      <c r="AG18" s="182"/>
    </row>
    <row r="19" spans="2:33" ht="15" customHeight="1" x14ac:dyDescent="0.2">
      <c r="B19" s="179" t="s">
        <v>753</v>
      </c>
      <c r="C19" s="179"/>
      <c r="D19" s="179"/>
      <c r="E19" s="180" t="s">
        <v>754</v>
      </c>
      <c r="F19" s="180"/>
      <c r="G19" s="180"/>
      <c r="H19" s="180"/>
      <c r="I19" s="180"/>
      <c r="J19" s="180"/>
      <c r="K19" s="180"/>
      <c r="L19" s="180"/>
      <c r="M19" s="180"/>
      <c r="N19" s="180"/>
      <c r="O19" s="180"/>
      <c r="P19" s="180"/>
      <c r="Q19" s="180"/>
      <c r="R19" s="180"/>
      <c r="S19" s="180"/>
      <c r="T19" s="180"/>
      <c r="U19" s="181" t="s">
        <v>755</v>
      </c>
      <c r="V19" s="181"/>
      <c r="W19" s="181"/>
      <c r="X19" s="181"/>
      <c r="Y19" s="181"/>
      <c r="Z19" s="181"/>
      <c r="AA19" s="181"/>
      <c r="AB19" s="181"/>
      <c r="AC19" s="181"/>
      <c r="AD19" s="181"/>
      <c r="AE19" s="84"/>
      <c r="AF19" s="84"/>
      <c r="AG19" s="84"/>
    </row>
    <row r="20" spans="2:33" ht="31.5" customHeight="1" x14ac:dyDescent="0.2">
      <c r="B20" s="62" t="s">
        <v>344</v>
      </c>
      <c r="C20" s="62" t="s">
        <v>345</v>
      </c>
      <c r="D20" s="62" t="s">
        <v>346</v>
      </c>
      <c r="E20" s="62" t="s">
        <v>347</v>
      </c>
      <c r="F20" s="62" t="s">
        <v>348</v>
      </c>
      <c r="G20" s="78" t="s">
        <v>728</v>
      </c>
      <c r="H20" s="78" t="s">
        <v>729</v>
      </c>
      <c r="I20" s="78" t="s">
        <v>730</v>
      </c>
      <c r="J20" s="78" t="s">
        <v>731</v>
      </c>
      <c r="K20" s="78" t="s">
        <v>732</v>
      </c>
      <c r="L20" s="78" t="s">
        <v>733</v>
      </c>
      <c r="M20" s="78" t="s">
        <v>734</v>
      </c>
      <c r="N20" s="78" t="s">
        <v>735</v>
      </c>
      <c r="O20" s="78" t="s">
        <v>736</v>
      </c>
      <c r="P20" s="78" t="s">
        <v>737</v>
      </c>
      <c r="Q20" s="78" t="s">
        <v>738</v>
      </c>
      <c r="R20" s="78" t="s">
        <v>739</v>
      </c>
      <c r="S20" s="78" t="s">
        <v>740</v>
      </c>
      <c r="T20" s="78" t="s">
        <v>741</v>
      </c>
      <c r="U20" s="79" t="s">
        <v>742</v>
      </c>
      <c r="V20" s="79" t="s">
        <v>743</v>
      </c>
      <c r="W20" s="79" t="s">
        <v>744</v>
      </c>
      <c r="X20" s="79" t="s">
        <v>745</v>
      </c>
      <c r="Y20" s="79" t="s">
        <v>746</v>
      </c>
      <c r="Z20" s="79" t="s">
        <v>747</v>
      </c>
      <c r="AA20" s="79" t="s">
        <v>748</v>
      </c>
      <c r="AB20" s="79" t="s">
        <v>749</v>
      </c>
      <c r="AC20" s="79" t="s">
        <v>750</v>
      </c>
      <c r="AD20" s="79" t="s">
        <v>751</v>
      </c>
      <c r="AE20" s="85" t="s">
        <v>756</v>
      </c>
      <c r="AF20" s="85" t="s">
        <v>757</v>
      </c>
      <c r="AG20" s="85" t="s">
        <v>752</v>
      </c>
    </row>
    <row r="21" spans="2:33" ht="31.5" customHeight="1" x14ac:dyDescent="0.2">
      <c r="B21" s="64">
        <v>1</v>
      </c>
      <c r="C21" s="64" t="s">
        <v>349</v>
      </c>
      <c r="D21" s="64" t="s">
        <v>350</v>
      </c>
      <c r="E21" s="75">
        <v>10000</v>
      </c>
      <c r="F21" s="75">
        <v>500000</v>
      </c>
      <c r="G21" s="80">
        <v>0.95</v>
      </c>
      <c r="H21" s="80">
        <v>0.7</v>
      </c>
      <c r="I21" s="80">
        <v>0.85</v>
      </c>
      <c r="J21" s="75">
        <f>E21*G21</f>
        <v>9500</v>
      </c>
      <c r="K21" s="75">
        <f t="shared" ref="K21:K28" si="0">J21*I21</f>
        <v>8075</v>
      </c>
      <c r="L21" s="75">
        <f>M21*I21</f>
        <v>297500</v>
      </c>
      <c r="M21" s="75">
        <f>F21*H21</f>
        <v>350000</v>
      </c>
      <c r="N21" s="83">
        <v>2</v>
      </c>
      <c r="O21" s="83">
        <v>0.5</v>
      </c>
      <c r="P21" s="83">
        <f t="shared" ref="P21:P28" si="1">MAX(N21-O21,0)</f>
        <v>1.5</v>
      </c>
      <c r="Q21" s="83">
        <v>1</v>
      </c>
      <c r="R21" s="83">
        <v>0.83</v>
      </c>
      <c r="S21" s="75">
        <f t="shared" ref="S21:S28" si="2">K21*P21*Q21</f>
        <v>12112.5</v>
      </c>
      <c r="T21" s="75">
        <f>L21*P21*R21</f>
        <v>370387.5</v>
      </c>
      <c r="U21" s="75"/>
      <c r="V21" s="75"/>
      <c r="W21" s="75">
        <f t="shared" ref="W21:W28" si="3">U21*V21</f>
        <v>0</v>
      </c>
      <c r="X21" s="75"/>
      <c r="Y21" s="75"/>
      <c r="Z21" s="75">
        <f t="shared" ref="Z21:Z28" si="4">X21*Y21</f>
        <v>0</v>
      </c>
      <c r="AA21" s="75">
        <v>0</v>
      </c>
      <c r="AB21" s="75"/>
      <c r="AC21" s="75"/>
      <c r="AD21" s="75"/>
      <c r="AE21" s="75">
        <f>SUM(S21,W21,Z21,AA21, AD21)</f>
        <v>12112.5</v>
      </c>
      <c r="AF21" s="75">
        <f>SUM(T21)</f>
        <v>370387.5</v>
      </c>
      <c r="AG21" s="75">
        <f>SUM(S21,T21,W21,Z21,AA21, AD21)</f>
        <v>382500</v>
      </c>
    </row>
    <row r="22" spans="2:33" ht="31.5" customHeight="1" x14ac:dyDescent="0.2">
      <c r="B22" s="64">
        <v>2</v>
      </c>
      <c r="C22" s="64" t="s">
        <v>351</v>
      </c>
      <c r="D22" s="64" t="s">
        <v>350</v>
      </c>
      <c r="E22" s="75">
        <v>10000</v>
      </c>
      <c r="F22" s="75">
        <v>500000</v>
      </c>
      <c r="G22" s="80">
        <v>0.95</v>
      </c>
      <c r="H22" s="80">
        <v>0.7</v>
      </c>
      <c r="I22" s="80">
        <v>0.95</v>
      </c>
      <c r="J22" s="75">
        <f t="shared" ref="J22:J28" si="5">E22*G22</f>
        <v>9500</v>
      </c>
      <c r="K22" s="75">
        <f t="shared" si="0"/>
        <v>9025</v>
      </c>
      <c r="L22" s="75">
        <f>M22*I22</f>
        <v>332500</v>
      </c>
      <c r="M22" s="75">
        <f>F22*H22</f>
        <v>350000</v>
      </c>
      <c r="N22" s="83">
        <v>3</v>
      </c>
      <c r="O22" s="83">
        <v>1</v>
      </c>
      <c r="P22" s="83">
        <f t="shared" si="1"/>
        <v>2</v>
      </c>
      <c r="Q22" s="83">
        <v>1</v>
      </c>
      <c r="R22" s="83">
        <v>0.83</v>
      </c>
      <c r="S22" s="75">
        <f t="shared" si="2"/>
        <v>18050</v>
      </c>
      <c r="T22" s="75">
        <f>L22*P22*R22</f>
        <v>551950</v>
      </c>
      <c r="U22" s="75">
        <v>0</v>
      </c>
      <c r="V22" s="75">
        <v>0</v>
      </c>
      <c r="W22" s="75">
        <f t="shared" si="3"/>
        <v>0</v>
      </c>
      <c r="X22" s="75">
        <v>0</v>
      </c>
      <c r="Y22" s="75">
        <v>0</v>
      </c>
      <c r="Z22" s="75">
        <f t="shared" si="4"/>
        <v>0</v>
      </c>
      <c r="AA22" s="75">
        <v>0</v>
      </c>
      <c r="AB22" s="75"/>
      <c r="AC22" s="75"/>
      <c r="AD22" s="75"/>
      <c r="AE22" s="75">
        <f t="shared" ref="AE22:AE28" si="6">SUM(S22,W22,Z22,AA22, AD22)</f>
        <v>18050</v>
      </c>
      <c r="AF22" s="75">
        <f t="shared" ref="AF22:AF28" si="7">SUM(T22)</f>
        <v>551950</v>
      </c>
      <c r="AG22" s="75">
        <f t="shared" ref="AG22:AG28" si="8">SUM(S22,T22,W22,Z22,AA22, AD22)</f>
        <v>570000</v>
      </c>
    </row>
    <row r="23" spans="2:33" ht="31.5" customHeight="1" x14ac:dyDescent="0.2">
      <c r="B23" s="64">
        <v>3</v>
      </c>
      <c r="C23" s="64" t="s">
        <v>352</v>
      </c>
      <c r="D23" s="64" t="s">
        <v>353</v>
      </c>
      <c r="E23" s="75">
        <v>58000</v>
      </c>
      <c r="F23" s="75">
        <v>101000</v>
      </c>
      <c r="G23" s="80">
        <v>1</v>
      </c>
      <c r="H23" s="80">
        <v>1</v>
      </c>
      <c r="I23" s="80">
        <v>0.95</v>
      </c>
      <c r="J23" s="75">
        <f t="shared" si="5"/>
        <v>58000</v>
      </c>
      <c r="K23" s="75">
        <f t="shared" si="0"/>
        <v>55100</v>
      </c>
      <c r="L23" s="75">
        <f t="shared" ref="L23:L28" si="9">M23*I23</f>
        <v>95950</v>
      </c>
      <c r="M23" s="75">
        <f t="shared" ref="M23:M28" si="10">F23*H23</f>
        <v>101000</v>
      </c>
      <c r="N23" s="83">
        <v>5</v>
      </c>
      <c r="O23" s="83">
        <v>5</v>
      </c>
      <c r="P23" s="83">
        <f t="shared" si="1"/>
        <v>0</v>
      </c>
      <c r="Q23" s="83">
        <v>1</v>
      </c>
      <c r="R23" s="83">
        <v>0.83</v>
      </c>
      <c r="S23" s="75">
        <f t="shared" si="2"/>
        <v>0</v>
      </c>
      <c r="T23" s="75">
        <f t="shared" ref="T23:T27" si="11">L23*P23*R23</f>
        <v>0</v>
      </c>
      <c r="U23" s="75">
        <v>6500</v>
      </c>
      <c r="V23" s="75">
        <v>47.9</v>
      </c>
      <c r="W23" s="75">
        <f>U23*V23</f>
        <v>311350</v>
      </c>
      <c r="X23" s="75">
        <v>10000</v>
      </c>
      <c r="Y23" s="75">
        <v>27.5</v>
      </c>
      <c r="Z23" s="75">
        <f>X23*Y23</f>
        <v>275000</v>
      </c>
      <c r="AA23" s="75">
        <v>0</v>
      </c>
      <c r="AB23" s="75"/>
      <c r="AC23" s="75"/>
      <c r="AD23" s="75"/>
      <c r="AE23" s="75">
        <f t="shared" si="6"/>
        <v>586350</v>
      </c>
      <c r="AF23" s="75">
        <f t="shared" si="7"/>
        <v>0</v>
      </c>
      <c r="AG23" s="75">
        <f t="shared" si="8"/>
        <v>586350</v>
      </c>
    </row>
    <row r="24" spans="2:33" ht="31.5" customHeight="1" x14ac:dyDescent="0.2">
      <c r="B24" s="64">
        <v>4</v>
      </c>
      <c r="C24" s="64" t="s">
        <v>354</v>
      </c>
      <c r="D24" s="64" t="s">
        <v>355</v>
      </c>
      <c r="E24" s="75">
        <v>58000</v>
      </c>
      <c r="F24" s="75">
        <v>101000</v>
      </c>
      <c r="G24" s="80">
        <v>1</v>
      </c>
      <c r="H24" s="80">
        <v>1</v>
      </c>
      <c r="I24" s="80">
        <v>0.95</v>
      </c>
      <c r="J24" s="75">
        <f t="shared" si="5"/>
        <v>58000</v>
      </c>
      <c r="K24" s="75">
        <f t="shared" si="0"/>
        <v>55100</v>
      </c>
      <c r="L24" s="75">
        <f t="shared" si="9"/>
        <v>95950</v>
      </c>
      <c r="M24" s="75">
        <f t="shared" si="10"/>
        <v>101000</v>
      </c>
      <c r="N24" s="83">
        <v>5</v>
      </c>
      <c r="O24" s="83">
        <v>5</v>
      </c>
      <c r="P24" s="83">
        <f t="shared" si="1"/>
        <v>0</v>
      </c>
      <c r="Q24" s="83">
        <v>1</v>
      </c>
      <c r="R24" s="83">
        <v>0.83</v>
      </c>
      <c r="S24" s="75">
        <f t="shared" si="2"/>
        <v>0</v>
      </c>
      <c r="T24" s="75">
        <f t="shared" si="11"/>
        <v>0</v>
      </c>
      <c r="U24" s="75">
        <v>6500</v>
      </c>
      <c r="V24" s="75">
        <v>47.9</v>
      </c>
      <c r="W24" s="75">
        <f>U24*V24</f>
        <v>311350</v>
      </c>
      <c r="X24" s="75">
        <v>10000</v>
      </c>
      <c r="Y24" s="75">
        <v>27.5</v>
      </c>
      <c r="Z24" s="75">
        <f>X24*Y24</f>
        <v>275000</v>
      </c>
      <c r="AA24" s="75">
        <v>0</v>
      </c>
      <c r="AB24" s="75"/>
      <c r="AC24" s="75"/>
      <c r="AD24" s="75"/>
      <c r="AE24" s="75">
        <f t="shared" si="6"/>
        <v>586350</v>
      </c>
      <c r="AF24" s="75">
        <f t="shared" si="7"/>
        <v>0</v>
      </c>
      <c r="AG24" s="75">
        <f t="shared" si="8"/>
        <v>586350</v>
      </c>
    </row>
    <row r="25" spans="2:33" ht="31.5" customHeight="1" x14ac:dyDescent="0.2">
      <c r="B25" s="64">
        <v>5</v>
      </c>
      <c r="C25" s="64" t="s">
        <v>356</v>
      </c>
      <c r="D25" s="64" t="s">
        <v>357</v>
      </c>
      <c r="E25" s="75">
        <v>5000</v>
      </c>
      <c r="F25" s="75">
        <v>50000</v>
      </c>
      <c r="G25" s="80">
        <v>0.95</v>
      </c>
      <c r="H25" s="80">
        <v>0.7</v>
      </c>
      <c r="I25" s="80">
        <v>0.95</v>
      </c>
      <c r="J25" s="75">
        <f t="shared" si="5"/>
        <v>4750</v>
      </c>
      <c r="K25" s="75">
        <f t="shared" si="0"/>
        <v>4512.5</v>
      </c>
      <c r="L25" s="75">
        <f t="shared" si="9"/>
        <v>33250</v>
      </c>
      <c r="M25" s="75">
        <f t="shared" si="10"/>
        <v>35000</v>
      </c>
      <c r="N25" s="83">
        <v>1</v>
      </c>
      <c r="O25" s="83">
        <v>0.5</v>
      </c>
      <c r="P25" s="83">
        <f t="shared" si="1"/>
        <v>0.5</v>
      </c>
      <c r="Q25" s="83">
        <v>1</v>
      </c>
      <c r="R25" s="83">
        <v>0.83</v>
      </c>
      <c r="S25" s="75">
        <f t="shared" si="2"/>
        <v>2256.25</v>
      </c>
      <c r="T25" s="75">
        <f t="shared" si="11"/>
        <v>13798.75</v>
      </c>
      <c r="U25" s="75">
        <v>0</v>
      </c>
      <c r="V25" s="75">
        <v>0</v>
      </c>
      <c r="W25" s="75">
        <f t="shared" si="3"/>
        <v>0</v>
      </c>
      <c r="X25" s="75">
        <v>0</v>
      </c>
      <c r="Y25" s="75">
        <v>0</v>
      </c>
      <c r="Z25" s="75">
        <f t="shared" si="4"/>
        <v>0</v>
      </c>
      <c r="AA25" s="75">
        <v>0</v>
      </c>
      <c r="AB25" s="75">
        <f>236874*0.1</f>
        <v>23687.4</v>
      </c>
      <c r="AC25" s="75">
        <f>6*0.25</f>
        <v>1.5</v>
      </c>
      <c r="AD25" s="75">
        <f>AB25*AC25</f>
        <v>35531.100000000006</v>
      </c>
      <c r="AE25" s="75">
        <f t="shared" si="6"/>
        <v>37787.350000000006</v>
      </c>
      <c r="AF25" s="75">
        <f t="shared" si="7"/>
        <v>13798.75</v>
      </c>
      <c r="AG25" s="75">
        <f t="shared" si="8"/>
        <v>51586.100000000006</v>
      </c>
    </row>
    <row r="26" spans="2:33" ht="31.5" customHeight="1" x14ac:dyDescent="0.2">
      <c r="B26" s="64">
        <v>8</v>
      </c>
      <c r="C26" s="64" t="s">
        <v>358</v>
      </c>
      <c r="D26" s="64" t="s">
        <v>359</v>
      </c>
      <c r="E26" s="75">
        <v>66000</v>
      </c>
      <c r="F26" s="75">
        <v>101000</v>
      </c>
      <c r="G26" s="80">
        <v>1</v>
      </c>
      <c r="H26" s="80">
        <v>1</v>
      </c>
      <c r="I26" s="80">
        <v>0.95</v>
      </c>
      <c r="J26" s="75">
        <f t="shared" si="5"/>
        <v>66000</v>
      </c>
      <c r="K26" s="75">
        <f t="shared" si="0"/>
        <v>62700</v>
      </c>
      <c r="L26" s="75">
        <f t="shared" si="9"/>
        <v>95950</v>
      </c>
      <c r="M26" s="75">
        <f t="shared" si="10"/>
        <v>101000</v>
      </c>
      <c r="N26" s="83">
        <v>2</v>
      </c>
      <c r="O26" s="83">
        <v>1.5</v>
      </c>
      <c r="P26" s="83">
        <f t="shared" si="1"/>
        <v>0.5</v>
      </c>
      <c r="Q26" s="83">
        <v>1</v>
      </c>
      <c r="R26" s="83">
        <v>0.83</v>
      </c>
      <c r="S26" s="75">
        <f t="shared" si="2"/>
        <v>31350</v>
      </c>
      <c r="T26" s="75">
        <f t="shared" si="11"/>
        <v>39819.25</v>
      </c>
      <c r="U26" s="75">
        <v>0</v>
      </c>
      <c r="V26" s="75">
        <v>0</v>
      </c>
      <c r="W26" s="75">
        <f t="shared" si="3"/>
        <v>0</v>
      </c>
      <c r="X26" s="75">
        <v>0</v>
      </c>
      <c r="Y26" s="75">
        <v>0</v>
      </c>
      <c r="Z26" s="75">
        <f t="shared" si="4"/>
        <v>0</v>
      </c>
      <c r="AA26" s="75">
        <v>0</v>
      </c>
      <c r="AB26" s="75"/>
      <c r="AC26" s="75"/>
      <c r="AD26" s="75"/>
      <c r="AE26" s="75">
        <f t="shared" si="6"/>
        <v>31350</v>
      </c>
      <c r="AF26" s="75">
        <f t="shared" si="7"/>
        <v>39819.25</v>
      </c>
      <c r="AG26" s="75">
        <f t="shared" si="8"/>
        <v>71169.25</v>
      </c>
    </row>
    <row r="27" spans="2:33" ht="31.5" customHeight="1" x14ac:dyDescent="0.2">
      <c r="B27" s="64">
        <v>9</v>
      </c>
      <c r="C27" s="64" t="s">
        <v>360</v>
      </c>
      <c r="D27" s="64" t="s">
        <v>350</v>
      </c>
      <c r="E27" s="75">
        <v>100000</v>
      </c>
      <c r="F27" s="75">
        <v>200000</v>
      </c>
      <c r="G27" s="80">
        <v>0.95</v>
      </c>
      <c r="H27" s="80">
        <v>0.7</v>
      </c>
      <c r="I27" s="80">
        <v>0.95</v>
      </c>
      <c r="J27" s="75">
        <f t="shared" si="5"/>
        <v>95000</v>
      </c>
      <c r="K27" s="75">
        <f t="shared" si="0"/>
        <v>90250</v>
      </c>
      <c r="L27" s="75">
        <f t="shared" si="9"/>
        <v>133000</v>
      </c>
      <c r="M27" s="75">
        <f t="shared" si="10"/>
        <v>140000</v>
      </c>
      <c r="N27" s="83">
        <v>2</v>
      </c>
      <c r="O27" s="83">
        <v>1</v>
      </c>
      <c r="P27" s="83">
        <f t="shared" si="1"/>
        <v>1</v>
      </c>
      <c r="Q27" s="83">
        <v>1</v>
      </c>
      <c r="R27" s="83">
        <v>0.83</v>
      </c>
      <c r="S27" s="75">
        <f t="shared" si="2"/>
        <v>90250</v>
      </c>
      <c r="T27" s="75">
        <f t="shared" si="11"/>
        <v>110390</v>
      </c>
      <c r="U27" s="75">
        <v>0</v>
      </c>
      <c r="V27" s="75">
        <v>0</v>
      </c>
      <c r="W27" s="75">
        <f t="shared" si="3"/>
        <v>0</v>
      </c>
      <c r="X27" s="75">
        <v>0</v>
      </c>
      <c r="Y27" s="75">
        <v>0</v>
      </c>
      <c r="Z27" s="75">
        <f t="shared" si="4"/>
        <v>0</v>
      </c>
      <c r="AA27" s="75">
        <v>0</v>
      </c>
      <c r="AB27" s="75"/>
      <c r="AC27" s="75"/>
      <c r="AD27" s="75"/>
      <c r="AE27" s="75">
        <f t="shared" si="6"/>
        <v>90250</v>
      </c>
      <c r="AF27" s="75">
        <f t="shared" si="7"/>
        <v>110390</v>
      </c>
      <c r="AG27" s="75">
        <f t="shared" si="8"/>
        <v>200640</v>
      </c>
    </row>
    <row r="28" spans="2:33" ht="31.5" customHeight="1" x14ac:dyDescent="0.2">
      <c r="B28" s="64">
        <v>10</v>
      </c>
      <c r="C28" s="64" t="s">
        <v>361</v>
      </c>
      <c r="D28" s="64" t="s">
        <v>362</v>
      </c>
      <c r="E28" s="75">
        <v>47000</v>
      </c>
      <c r="F28" s="75">
        <v>0</v>
      </c>
      <c r="G28" s="80">
        <v>1</v>
      </c>
      <c r="H28" s="80"/>
      <c r="I28" s="80">
        <v>0.95</v>
      </c>
      <c r="J28" s="75">
        <f t="shared" si="5"/>
        <v>47000</v>
      </c>
      <c r="K28" s="75">
        <f t="shared" si="0"/>
        <v>44650</v>
      </c>
      <c r="L28" s="75">
        <f t="shared" si="9"/>
        <v>0</v>
      </c>
      <c r="M28" s="75">
        <f t="shared" si="10"/>
        <v>0</v>
      </c>
      <c r="N28" s="83">
        <v>3.5</v>
      </c>
      <c r="O28" s="83">
        <v>2</v>
      </c>
      <c r="P28" s="83">
        <f t="shared" si="1"/>
        <v>1.5</v>
      </c>
      <c r="Q28" s="83">
        <v>1</v>
      </c>
      <c r="R28" s="83">
        <v>0.83</v>
      </c>
      <c r="S28" s="75">
        <f t="shared" si="2"/>
        <v>66975</v>
      </c>
      <c r="T28" s="75">
        <f>L28*P28*R28</f>
        <v>0</v>
      </c>
      <c r="U28" s="75">
        <v>0</v>
      </c>
      <c r="V28" s="75">
        <v>0</v>
      </c>
      <c r="W28" s="75">
        <f t="shared" si="3"/>
        <v>0</v>
      </c>
      <c r="X28" s="75">
        <v>0</v>
      </c>
      <c r="Y28" s="75">
        <v>0</v>
      </c>
      <c r="Z28" s="75">
        <f t="shared" si="4"/>
        <v>0</v>
      </c>
      <c r="AA28" s="75">
        <v>0</v>
      </c>
      <c r="AB28" s="75"/>
      <c r="AC28" s="75"/>
      <c r="AD28" s="75"/>
      <c r="AE28" s="75">
        <f t="shared" si="6"/>
        <v>66975</v>
      </c>
      <c r="AF28" s="75">
        <f t="shared" si="7"/>
        <v>0</v>
      </c>
      <c r="AG28" s="75">
        <f t="shared" si="8"/>
        <v>66975</v>
      </c>
    </row>
    <row r="29" spans="2:33" ht="15.75" customHeight="1" x14ac:dyDescent="0.2">
      <c r="B29" s="64" t="s">
        <v>363</v>
      </c>
      <c r="C29" s="63"/>
      <c r="D29" s="63"/>
      <c r="E29" s="75">
        <f>SUM(E21:E28)</f>
        <v>354000</v>
      </c>
      <c r="F29" s="75">
        <f>SUM(F21:F28)</f>
        <v>1553000</v>
      </c>
      <c r="G29" s="80">
        <f>AVERAGE(G21:G28)</f>
        <v>0.97499999999999998</v>
      </c>
      <c r="H29" s="80">
        <f>AVERAGE(H21:H28)</f>
        <v>0.82857142857142851</v>
      </c>
      <c r="I29" s="80">
        <f>AVERAGE(I21:I28)</f>
        <v>0.93750000000000011</v>
      </c>
      <c r="J29" s="75">
        <f>SUM(J21:J28)</f>
        <v>347750</v>
      </c>
      <c r="K29" s="75">
        <f t="shared" ref="K29:M29" si="12">SUM(K21:K28)</f>
        <v>329412.5</v>
      </c>
      <c r="L29" s="75">
        <f t="shared" si="12"/>
        <v>1084100</v>
      </c>
      <c r="M29" s="75">
        <f t="shared" si="12"/>
        <v>1178000</v>
      </c>
      <c r="N29" s="83">
        <f>AVERAGE(N21:N28)</f>
        <v>2.9375</v>
      </c>
      <c r="O29" s="83">
        <f t="shared" ref="O29:R29" si="13">AVERAGE(O21:O28)</f>
        <v>2.0625</v>
      </c>
      <c r="P29" s="83">
        <f t="shared" si="13"/>
        <v>0.875</v>
      </c>
      <c r="Q29" s="83">
        <f t="shared" si="13"/>
        <v>1</v>
      </c>
      <c r="R29" s="83">
        <f t="shared" si="13"/>
        <v>0.83</v>
      </c>
      <c r="S29" s="75">
        <f>SUM(S21:S28)</f>
        <v>220993.75</v>
      </c>
      <c r="T29" s="75">
        <f>SUM(T21:T28)</f>
        <v>1086345.5</v>
      </c>
      <c r="U29" s="75">
        <f>SUM(U21:U28)</f>
        <v>13000</v>
      </c>
      <c r="V29" s="75">
        <f>AVERAGE(V23:V24)</f>
        <v>47.9</v>
      </c>
      <c r="W29" s="75">
        <f>SUM(W21:W28)</f>
        <v>622700</v>
      </c>
      <c r="X29" s="75">
        <f>SUM(X21:X28)</f>
        <v>20000</v>
      </c>
      <c r="Y29" s="75">
        <f>AVERAGE(Y23:Y24)</f>
        <v>27.5</v>
      </c>
      <c r="Z29" s="75">
        <f>SUM(Z21:Z28)</f>
        <v>550000</v>
      </c>
      <c r="AA29" s="75"/>
      <c r="AB29" s="75"/>
      <c r="AC29" s="75"/>
      <c r="AD29" s="75"/>
      <c r="AE29" s="75">
        <f>SUM(AE21:AE28)</f>
        <v>1429224.85</v>
      </c>
      <c r="AF29" s="75">
        <f>SUM(AF21:AF28)</f>
        <v>1086345.5</v>
      </c>
      <c r="AG29" s="75">
        <f>SUM(AG21:AG28)</f>
        <v>2515570.35</v>
      </c>
    </row>
    <row r="30" spans="2:33" ht="30" customHeight="1" x14ac:dyDescent="0.2">
      <c r="B30" s="184" t="s">
        <v>758</v>
      </c>
      <c r="C30" s="184"/>
      <c r="D30" s="184"/>
      <c r="E30" s="184"/>
      <c r="F30" s="184"/>
      <c r="G30" s="184"/>
      <c r="H30" s="184"/>
      <c r="I30" s="70" t="s">
        <v>364</v>
      </c>
      <c r="J30" s="63"/>
    </row>
    <row r="31" spans="2:33" ht="15" customHeight="1" x14ac:dyDescent="0.2">
      <c r="B31" s="63"/>
      <c r="C31" s="63"/>
      <c r="D31" s="63"/>
      <c r="E31" s="63"/>
      <c r="F31" s="63"/>
      <c r="G31" s="63"/>
      <c r="H31" s="63"/>
      <c r="I31" s="63"/>
      <c r="J31" s="63"/>
    </row>
    <row r="32" spans="2:33" ht="15" customHeight="1" x14ac:dyDescent="0.2">
      <c r="B32" s="178" t="s">
        <v>365</v>
      </c>
      <c r="C32" s="178"/>
      <c r="D32" s="178"/>
      <c r="E32" s="178"/>
      <c r="F32" s="178"/>
      <c r="G32" s="178"/>
      <c r="H32" s="178"/>
      <c r="I32" s="178"/>
      <c r="J32" s="178"/>
    </row>
    <row r="33" spans="2:10" ht="15.75" customHeight="1" x14ac:dyDescent="0.2">
      <c r="B33" s="62" t="s">
        <v>366</v>
      </c>
      <c r="C33" s="62" t="s">
        <v>62</v>
      </c>
      <c r="D33" s="62" t="s">
        <v>367</v>
      </c>
      <c r="E33" s="62" t="s">
        <v>24</v>
      </c>
      <c r="F33" s="62"/>
      <c r="G33" s="62"/>
      <c r="H33" s="63"/>
      <c r="I33" s="63"/>
      <c r="J33" s="63"/>
    </row>
    <row r="34" spans="2:10" ht="30" customHeight="1" x14ac:dyDescent="0.2">
      <c r="B34" s="64" t="s">
        <v>368</v>
      </c>
      <c r="C34" s="81">
        <f>MAX('02_INPUTS'!D71*'02_INPUTS'!D75-'02_INPUTS'!D71*'02_INPUTS'!D73,0)</f>
        <v>18004.000000000029</v>
      </c>
      <c r="D34" s="82">
        <f>C34*'02_INPUTS'!D67*'02_INPUTS'!D77</f>
        <v>475100.35440000077</v>
      </c>
      <c r="E34" s="70" t="s">
        <v>369</v>
      </c>
      <c r="F34" s="63"/>
      <c r="G34" s="63"/>
      <c r="H34" s="63"/>
      <c r="I34" s="63"/>
      <c r="J34" s="63"/>
    </row>
    <row r="35" spans="2:10" ht="31.5" customHeight="1" x14ac:dyDescent="0.2">
      <c r="B35" s="64" t="s">
        <v>370</v>
      </c>
      <c r="C35" s="81">
        <f>MAX('02_INPUTS'!D72*'02_INPUTS'!D75-'02_INPUTS'!D72*'02_INPUTS'!D74,0)</f>
        <v>14125.000000000029</v>
      </c>
      <c r="D35" s="82">
        <f>C35*'02_INPUTS'!D69*'02_INPUTS'!D77</f>
        <v>379614.74250000075</v>
      </c>
      <c r="E35" s="70" t="s">
        <v>371</v>
      </c>
      <c r="F35" s="63"/>
      <c r="G35" s="63"/>
      <c r="H35" s="63"/>
      <c r="I35" s="63"/>
      <c r="J35" s="63"/>
    </row>
    <row r="36" spans="2:10" ht="30" customHeight="1" x14ac:dyDescent="0.2">
      <c r="B36" s="64" t="s">
        <v>372</v>
      </c>
      <c r="C36" s="82">
        <f>'02_INPUTS'!D76*'02_INPUTS'!D78*'02_INPUTS'!D79</f>
        <v>0</v>
      </c>
      <c r="D36" s="73">
        <f>C36*'02_INPUTS'!D77</f>
        <v>0</v>
      </c>
      <c r="E36" s="70" t="s">
        <v>373</v>
      </c>
      <c r="F36" s="63"/>
      <c r="G36" s="63"/>
      <c r="H36" s="63"/>
      <c r="I36" s="63"/>
      <c r="J36" s="63"/>
    </row>
    <row r="37" spans="2:10" ht="15.75" customHeight="1" x14ac:dyDescent="0.2">
      <c r="B37" s="64" t="s">
        <v>374</v>
      </c>
      <c r="C37" s="82">
        <f>'02_INPUTS'!D76*'02_INPUTS'!D80</f>
        <v>0</v>
      </c>
      <c r="D37" s="73">
        <f>C37*'02_INPUTS'!D77</f>
        <v>0</v>
      </c>
      <c r="E37" s="70" t="s">
        <v>375</v>
      </c>
      <c r="F37" s="63"/>
      <c r="G37" s="63"/>
      <c r="H37" s="63"/>
      <c r="I37" s="63"/>
      <c r="J37" s="63"/>
    </row>
    <row r="38" spans="2:10" ht="30" customHeight="1" x14ac:dyDescent="0.2">
      <c r="B38" s="64" t="s">
        <v>376</v>
      </c>
      <c r="C38" s="82">
        <f>'02_INPUTS'!D83*'02_INPUTS'!D85</f>
        <v>0</v>
      </c>
      <c r="D38" s="73">
        <f>C38*'02_INPUTS'!D84</f>
        <v>0</v>
      </c>
      <c r="E38" s="70" t="s">
        <v>377</v>
      </c>
      <c r="F38" s="63"/>
      <c r="G38" s="63"/>
      <c r="H38" s="63"/>
      <c r="I38" s="63"/>
      <c r="J38" s="63"/>
    </row>
    <row r="39" spans="2:10" ht="45" customHeight="1" x14ac:dyDescent="0.2">
      <c r="B39" s="64" t="s">
        <v>378</v>
      </c>
      <c r="C39" s="63"/>
      <c r="D39" s="73">
        <f>SUM(D34,D36:D38)</f>
        <v>475100.35440000077</v>
      </c>
      <c r="E39" s="70" t="s">
        <v>379</v>
      </c>
      <c r="F39" s="63"/>
      <c r="G39" s="63"/>
      <c r="H39" s="63"/>
      <c r="I39" s="63"/>
      <c r="J39" s="63"/>
    </row>
    <row r="40" spans="2:10" ht="45" customHeight="1" x14ac:dyDescent="0.2">
      <c r="B40" s="64" t="s">
        <v>380</v>
      </c>
      <c r="C40" s="63"/>
      <c r="D40" s="73">
        <f>D39*'02_INPUTS'!D82</f>
        <v>237550.17720000038</v>
      </c>
      <c r="E40" s="70" t="s">
        <v>381</v>
      </c>
      <c r="F40" s="63"/>
      <c r="G40" s="63"/>
      <c r="H40" s="63"/>
      <c r="I40" s="63"/>
      <c r="J40" s="63"/>
    </row>
    <row r="41" spans="2:10" ht="30" customHeight="1" x14ac:dyDescent="0.2">
      <c r="B41" s="64" t="s">
        <v>44</v>
      </c>
      <c r="C41" s="63"/>
      <c r="D41" s="82">
        <f>F13+D40*'02_INPUTS'!D81</f>
        <v>1420517.0403150939</v>
      </c>
      <c r="E41" s="70" t="s">
        <v>382</v>
      </c>
      <c r="F41" s="63"/>
      <c r="G41" s="63"/>
      <c r="H41" s="63"/>
      <c r="I41" s="63"/>
      <c r="J41" s="63"/>
    </row>
    <row r="42" spans="2:10" ht="31.5" customHeight="1" x14ac:dyDescent="0.2">
      <c r="B42" s="64" t="s">
        <v>383</v>
      </c>
      <c r="C42" s="63"/>
      <c r="D42" s="73">
        <f>F13+D40</f>
        <v>1658067.2175150942</v>
      </c>
      <c r="E42" s="70" t="s">
        <v>384</v>
      </c>
      <c r="F42" s="63"/>
      <c r="G42" s="63"/>
      <c r="H42" s="63"/>
      <c r="I42" s="63"/>
      <c r="J42" s="63"/>
    </row>
    <row r="43" spans="2:10" ht="30" customHeight="1" x14ac:dyDescent="0.2">
      <c r="B43" s="64" t="s">
        <v>385</v>
      </c>
      <c r="C43" s="63"/>
      <c r="D43" s="73">
        <v>1517392</v>
      </c>
      <c r="E43" s="70" t="s">
        <v>386</v>
      </c>
      <c r="F43" s="63"/>
      <c r="G43" s="63"/>
      <c r="H43" s="63"/>
      <c r="I43" s="63"/>
      <c r="J43" s="63"/>
    </row>
    <row r="44" spans="2:10" ht="30" customHeight="1" x14ac:dyDescent="0.2">
      <c r="B44" s="64" t="s">
        <v>387</v>
      </c>
      <c r="C44" s="63"/>
      <c r="D44" s="73">
        <f>D41-D43</f>
        <v>-96874.959684906062</v>
      </c>
      <c r="E44" s="70" t="s">
        <v>388</v>
      </c>
      <c r="F44" s="63"/>
      <c r="G44" s="63"/>
      <c r="H44" s="63"/>
      <c r="I44" s="63"/>
      <c r="J44" s="63"/>
    </row>
    <row r="45" spans="2:10" ht="15.75" customHeight="1" x14ac:dyDescent="0.2">
      <c r="B45" s="64" t="s">
        <v>389</v>
      </c>
      <c r="C45" s="63"/>
      <c r="D45" s="73">
        <f>AE29</f>
        <v>1429224.85</v>
      </c>
      <c r="E45" s="70" t="s">
        <v>390</v>
      </c>
      <c r="F45" s="63"/>
      <c r="G45" s="63"/>
      <c r="H45" s="63"/>
      <c r="I45" s="63"/>
      <c r="J45" s="63"/>
    </row>
    <row r="46" spans="2:10" ht="31.5" customHeight="1" x14ac:dyDescent="0.2">
      <c r="B46" s="64" t="s">
        <v>391</v>
      </c>
      <c r="C46" s="63"/>
      <c r="D46" s="74">
        <f>F11/D45</f>
        <v>1.3252097599759236</v>
      </c>
      <c r="E46" s="70" t="s">
        <v>392</v>
      </c>
      <c r="F46" s="63"/>
      <c r="G46" s="63"/>
      <c r="H46" s="63"/>
      <c r="I46" s="63"/>
      <c r="J46" s="63"/>
    </row>
  </sheetData>
  <mergeCells count="8">
    <mergeCell ref="B2:I2"/>
    <mergeCell ref="B4:J4"/>
    <mergeCell ref="B30:H30"/>
    <mergeCell ref="B32:J32"/>
    <mergeCell ref="B19:D19"/>
    <mergeCell ref="E19:T19"/>
    <mergeCell ref="U19:AD19"/>
    <mergeCell ref="B18:AG18"/>
  </mergeCells>
  <dataValidations count="2">
    <dataValidation type="decimal" allowBlank="1" sqref="G21:G22 G25:I25 H21:I24 G27:H27 H28 H26 I26:I28" xr:uid="{438C7B76-3166-2947-BA37-388B1150F96B}">
      <formula1>0</formula1>
      <formula2>1</formula2>
    </dataValidation>
    <dataValidation type="decimal" operator="greaterThanOrEqual" allowBlank="1" sqref="N29:R29 G28:G29 AA21:AD29 H29:I29 G23:G24 G26 N21:O22 N25:O25 N27:O27 U25:V29 U21:V22 X21:Y22 R21:R28 X25:X28 Y25:Y29" xr:uid="{697AFC60-705A-CD43-8F46-4D99C045B97E}">
      <formula1>0</formula1>
    </dataValidation>
  </dataValidation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54"/>
  <sheetViews>
    <sheetView showGridLines="0" topLeftCell="C19" zoomScaleNormal="100" workbookViewId="0">
      <selection activeCell="C17" sqref="C17"/>
    </sheetView>
  </sheetViews>
  <sheetFormatPr baseColWidth="10" defaultColWidth="8.83203125" defaultRowHeight="15" x14ac:dyDescent="0.2"/>
  <cols>
    <col min="2" max="2" width="42" customWidth="1"/>
    <col min="3" max="4" width="16" customWidth="1"/>
    <col min="5" max="5" width="18" customWidth="1"/>
    <col min="6" max="6" width="14" customWidth="1"/>
    <col min="7" max="7" width="15.1640625" customWidth="1"/>
    <col min="8" max="8" width="28.83203125" customWidth="1"/>
  </cols>
  <sheetData>
    <row r="2" spans="2:8" ht="24" customHeight="1" x14ac:dyDescent="0.2">
      <c r="B2" s="151" t="s">
        <v>393</v>
      </c>
      <c r="C2" s="151"/>
      <c r="D2" s="151"/>
      <c r="E2" s="151"/>
      <c r="F2" s="151"/>
      <c r="G2" s="151"/>
      <c r="H2" s="151"/>
    </row>
    <row r="4" spans="2:8" ht="31.5" customHeight="1" x14ac:dyDescent="0.2">
      <c r="B4" s="6" t="s">
        <v>21</v>
      </c>
      <c r="C4" s="6" t="s">
        <v>10</v>
      </c>
      <c r="D4" s="6" t="s">
        <v>11</v>
      </c>
      <c r="E4" s="6" t="s">
        <v>12</v>
      </c>
      <c r="F4" s="6" t="s">
        <v>13</v>
      </c>
      <c r="G4" s="6" t="s">
        <v>1143</v>
      </c>
      <c r="H4" s="6" t="s">
        <v>24</v>
      </c>
    </row>
    <row r="5" spans="2:8" ht="30" x14ac:dyDescent="0.2">
      <c r="B5" s="10" t="s">
        <v>245</v>
      </c>
      <c r="C5" s="37">
        <f>'03_SZENARIOS'!C45</f>
        <v>0.85</v>
      </c>
      <c r="D5" s="37">
        <f>'03_SZENARIOS'!D45</f>
        <v>0.95</v>
      </c>
      <c r="E5" s="37">
        <f>'03_SZENARIOS'!E45</f>
        <v>0.95</v>
      </c>
      <c r="F5" s="37">
        <f>'03_SZENARIOS'!F45</f>
        <v>0.9</v>
      </c>
      <c r="G5" s="37">
        <f>'03_SZENARIOS'!G45</f>
        <v>0.95</v>
      </c>
      <c r="H5" s="9" t="s">
        <v>394</v>
      </c>
    </row>
    <row r="6" spans="2:8" ht="30" x14ac:dyDescent="0.2">
      <c r="B6" s="10" t="s">
        <v>247</v>
      </c>
      <c r="C6" s="37">
        <f>'03_SZENARIOS'!C46</f>
        <v>0.45</v>
      </c>
      <c r="D6" s="37">
        <f>'03_SZENARIOS'!D46</f>
        <v>0.85</v>
      </c>
      <c r="E6" s="37">
        <f>'03_SZENARIOS'!E46</f>
        <v>0.9</v>
      </c>
      <c r="F6" s="37">
        <f>'03_SZENARIOS'!F46</f>
        <v>0.7</v>
      </c>
      <c r="G6" s="37">
        <f>'03_SZENARIOS'!G46</f>
        <v>0.85</v>
      </c>
      <c r="H6" s="9" t="s">
        <v>395</v>
      </c>
    </row>
    <row r="7" spans="2:8" ht="15.75" customHeight="1" x14ac:dyDescent="0.2">
      <c r="B7" s="10" t="s">
        <v>396</v>
      </c>
      <c r="C7" s="14">
        <f>'06_NUTZEN_MODELL'!F13*C5</f>
        <v>1207439.4842678299</v>
      </c>
      <c r="D7" s="14">
        <f>'06_NUTZEN_MODELL'!F13*D5</f>
        <v>1349491.1882993393</v>
      </c>
      <c r="E7" s="14">
        <f>'06_NUTZEN_MODELL'!F13*E5</f>
        <v>1349491.1882993393</v>
      </c>
      <c r="F7" s="14">
        <f>'06_NUTZEN_MODELL'!F13*F5</f>
        <v>1278465.3362835846</v>
      </c>
      <c r="G7" s="14">
        <f>'06_NUTZEN_MODELL'!F13*G5</f>
        <v>1349491.1882993393</v>
      </c>
      <c r="H7" s="9" t="s">
        <v>397</v>
      </c>
    </row>
    <row r="8" spans="2:8" ht="30" customHeight="1" x14ac:dyDescent="0.2">
      <c r="B8" s="10" t="s">
        <v>398</v>
      </c>
      <c r="C8" s="14">
        <f>'06_NUTZEN_MODELL'!D40*C6*'02_INPUTS'!D81</f>
        <v>0</v>
      </c>
      <c r="D8" s="14">
        <f>'06_NUTZEN_MODELL'!D40*D6*'02_INPUTS'!D81</f>
        <v>0</v>
      </c>
      <c r="E8" s="14">
        <f>'06_NUTZEN_MODELL'!D40*E6*'02_INPUTS'!D81</f>
        <v>0</v>
      </c>
      <c r="F8" s="14">
        <f>'06_NUTZEN_MODELL'!D40*F6*'02_INPUTS'!D81</f>
        <v>0</v>
      </c>
      <c r="G8" s="14">
        <f>'06_NUTZEN_MODELL'!D40*G6*'02_INPUTS'!D81</f>
        <v>0</v>
      </c>
      <c r="H8" s="9" t="s">
        <v>399</v>
      </c>
    </row>
    <row r="9" spans="2:8" ht="15.75" customHeight="1" x14ac:dyDescent="0.2">
      <c r="B9" s="10" t="s">
        <v>400</v>
      </c>
      <c r="C9" s="12">
        <f>C7+C8</f>
        <v>1207439.4842678299</v>
      </c>
      <c r="D9" s="12">
        <f>D7+D8</f>
        <v>1349491.1882993393</v>
      </c>
      <c r="E9" s="12">
        <f>E7+E8</f>
        <v>1349491.1882993393</v>
      </c>
      <c r="F9" s="12">
        <f>F7+F8</f>
        <v>1278465.3362835846</v>
      </c>
      <c r="G9" s="12">
        <f>G7+G8</f>
        <v>1349491.1882993393</v>
      </c>
      <c r="H9" s="9" t="s">
        <v>401</v>
      </c>
    </row>
    <row r="10" spans="2:8" ht="15.75" customHeight="1" x14ac:dyDescent="0.2">
      <c r="B10" s="10" t="s">
        <v>402</v>
      </c>
      <c r="C10" s="15">
        <f>IFERROR('05_KOSTEN_MODELL'!C9/'05_KOSTEN_MODELL'!F9,0)</f>
        <v>0.38888888888888878</v>
      </c>
      <c r="D10" s="15">
        <f>IFERROR('05_KOSTEN_MODELL'!C9/'05_KOSTEN_MODELL'!F9,0)</f>
        <v>0.38888888888888878</v>
      </c>
      <c r="E10" s="15">
        <f>IFERROR('05_KOSTEN_MODELL'!C9/'05_KOSTEN_MODELL'!F9,0)</f>
        <v>0.38888888888888878</v>
      </c>
      <c r="F10" s="15">
        <f>IFERROR('05_KOSTEN_MODELL'!C9/'05_KOSTEN_MODELL'!F9,0)</f>
        <v>0.38888888888888878</v>
      </c>
      <c r="G10" s="15">
        <f>IFERROR('05_KOSTEN_MODELL'!C9/'05_KOSTEN_MODELL'!F9,0)</f>
        <v>0.38888888888888878</v>
      </c>
      <c r="H10" s="9" t="s">
        <v>403</v>
      </c>
    </row>
    <row r="11" spans="2:8" ht="15.75" customHeight="1" x14ac:dyDescent="0.2">
      <c r="B11" s="10" t="s">
        <v>404</v>
      </c>
      <c r="C11" s="15">
        <f>IFERROR('05_KOSTEN_MODELL'!D9/'05_KOSTEN_MODELL'!F9,0)</f>
        <v>0.66666666666666652</v>
      </c>
      <c r="D11" s="15">
        <f>IFERROR('05_KOSTEN_MODELL'!D9/'05_KOSTEN_MODELL'!F9,0)</f>
        <v>0.66666666666666652</v>
      </c>
      <c r="E11" s="15">
        <f>IFERROR('05_KOSTEN_MODELL'!D9/'05_KOSTEN_MODELL'!F9,0)</f>
        <v>0.66666666666666652</v>
      </c>
      <c r="F11" s="15">
        <f>IFERROR('05_KOSTEN_MODELL'!D9/'05_KOSTEN_MODELL'!F9,0)</f>
        <v>0.66666666666666652</v>
      </c>
      <c r="G11" s="15">
        <f>IFERROR('05_KOSTEN_MODELL'!D9/'05_KOSTEN_MODELL'!F9,0)</f>
        <v>0.66666666666666652</v>
      </c>
      <c r="H11" s="9" t="s">
        <v>403</v>
      </c>
    </row>
    <row r="12" spans="2:8" ht="15.75" customHeight="1" x14ac:dyDescent="0.2">
      <c r="B12" s="10" t="s">
        <v>405</v>
      </c>
      <c r="C12" s="15">
        <f>IFERROR('05_KOSTEN_MODELL'!E9/'05_KOSTEN_MODELL'!F9,0)</f>
        <v>0.83333333333333326</v>
      </c>
      <c r="D12" s="15">
        <f>IFERROR('05_KOSTEN_MODELL'!E9/'05_KOSTEN_MODELL'!F9,0)</f>
        <v>0.83333333333333326</v>
      </c>
      <c r="E12" s="15">
        <f>IFERROR('05_KOSTEN_MODELL'!E9/'05_KOSTEN_MODELL'!F9,0)</f>
        <v>0.83333333333333326</v>
      </c>
      <c r="F12" s="15">
        <f>IFERROR('05_KOSTEN_MODELL'!E9/'05_KOSTEN_MODELL'!F9,0)</f>
        <v>0.83333333333333326</v>
      </c>
      <c r="G12" s="15">
        <f>IFERROR('05_KOSTEN_MODELL'!E9/'05_KOSTEN_MODELL'!F9,0)</f>
        <v>0.83333333333333326</v>
      </c>
      <c r="H12" s="9" t="s">
        <v>403</v>
      </c>
    </row>
    <row r="13" spans="2:8" ht="15.75" customHeight="1" x14ac:dyDescent="0.2">
      <c r="B13" s="10" t="s">
        <v>406</v>
      </c>
      <c r="C13" s="37">
        <v>1</v>
      </c>
      <c r="D13" s="37">
        <v>1</v>
      </c>
      <c r="E13" s="37">
        <v>1</v>
      </c>
      <c r="F13" s="37">
        <v>1</v>
      </c>
      <c r="G13" s="37">
        <v>1</v>
      </c>
      <c r="H13" s="9" t="s">
        <v>403</v>
      </c>
    </row>
    <row r="14" spans="2:8" ht="15.75" customHeight="1" x14ac:dyDescent="0.2">
      <c r="B14" s="10" t="s">
        <v>407</v>
      </c>
      <c r="C14" s="37">
        <v>1</v>
      </c>
      <c r="D14" s="37">
        <v>1</v>
      </c>
      <c r="E14" s="37">
        <v>1</v>
      </c>
      <c r="F14" s="37">
        <v>1</v>
      </c>
      <c r="G14" s="37">
        <v>1</v>
      </c>
      <c r="H14" s="9" t="s">
        <v>403</v>
      </c>
    </row>
    <row r="15" spans="2:8" ht="15.75" customHeight="1" x14ac:dyDescent="0.2">
      <c r="B15" s="10" t="s">
        <v>408</v>
      </c>
      <c r="C15" s="37">
        <f>SUM(C10:C14)</f>
        <v>3.8888888888888884</v>
      </c>
      <c r="D15" s="37">
        <f>SUM(D10:D14)</f>
        <v>3.8888888888888884</v>
      </c>
      <c r="E15" s="37">
        <f>SUM(E10:E14)</f>
        <v>3.8888888888888884</v>
      </c>
      <c r="F15" s="37">
        <f>SUM(F10:F14)</f>
        <v>3.8888888888888884</v>
      </c>
      <c r="G15" s="37">
        <f>SUM(G10:G14)</f>
        <v>3.8888888888888884</v>
      </c>
      <c r="H15" s="9"/>
    </row>
    <row r="16" spans="2:8" ht="15.75" customHeight="1" x14ac:dyDescent="0.2">
      <c r="B16" s="10" t="s">
        <v>37</v>
      </c>
      <c r="C16" s="12">
        <f>C9*C15</f>
        <v>4695597.9943748936</v>
      </c>
      <c r="D16" s="12">
        <f>D9*D15</f>
        <v>5248021.2878307635</v>
      </c>
      <c r="E16" s="12">
        <f>E9*E15</f>
        <v>5248021.2878307635</v>
      </c>
      <c r="F16" s="12">
        <f>F9*F15</f>
        <v>4971809.6411028281</v>
      </c>
      <c r="G16" s="12">
        <f>G9*G15</f>
        <v>5248021.2878307635</v>
      </c>
      <c r="H16" s="9" t="s">
        <v>409</v>
      </c>
    </row>
    <row r="17" spans="2:8" ht="15.75" customHeight="1" x14ac:dyDescent="0.2">
      <c r="B17" s="10" t="s">
        <v>310</v>
      </c>
      <c r="C17" s="12">
        <f>'05_KOSTEN_MODELL'!C67</f>
        <v>849830</v>
      </c>
      <c r="D17" s="12">
        <f>'05_KOSTEN_MODELL'!D67</f>
        <v>1149770</v>
      </c>
      <c r="E17" s="12">
        <f>'05_KOSTEN_MODELL'!E67</f>
        <v>1199760</v>
      </c>
      <c r="F17" s="12">
        <f>'05_KOSTEN_MODELL'!F67</f>
        <v>999800</v>
      </c>
      <c r="G17" s="12">
        <f>'05_KOSTEN_MODELL'!G67</f>
        <v>1099780</v>
      </c>
      <c r="H17" s="9"/>
    </row>
    <row r="18" spans="2:8" ht="15.75" customHeight="1" x14ac:dyDescent="0.2">
      <c r="B18" s="10" t="s">
        <v>303</v>
      </c>
      <c r="C18" s="12">
        <f>'05_KOSTEN_MODELL'!H59</f>
        <v>2456048.5440000002</v>
      </c>
      <c r="D18" s="12">
        <f>'05_KOSTEN_MODELL'!H60</f>
        <v>2030628.2976000002</v>
      </c>
      <c r="E18" s="12">
        <f>'05_KOSTEN_MODELL'!H61</f>
        <v>1935236.45952</v>
      </c>
      <c r="F18" s="12">
        <f>'05_KOSTEN_MODELL'!H62</f>
        <v>1627150.9190400001</v>
      </c>
      <c r="G18" s="12">
        <f>'05_KOSTEN_MODELL'!H63</f>
        <v>1894791.8380800001</v>
      </c>
      <c r="H18" s="9"/>
    </row>
    <row r="19" spans="2:8" ht="15.75" customHeight="1" x14ac:dyDescent="0.2">
      <c r="B19" s="10" t="s">
        <v>33</v>
      </c>
      <c r="C19" s="12">
        <f>C17+C18</f>
        <v>3305878.5440000002</v>
      </c>
      <c r="D19" s="12">
        <f>D17+D18</f>
        <v>3180398.2976000002</v>
      </c>
      <c r="E19" s="12">
        <f>E17+E18</f>
        <v>3134996.45952</v>
      </c>
      <c r="F19" s="12">
        <f>F17+F18</f>
        <v>2626950.9190400001</v>
      </c>
      <c r="G19" s="12">
        <f>G17+G18</f>
        <v>2994571.8380800001</v>
      </c>
      <c r="H19" s="9"/>
    </row>
    <row r="20" spans="2:8" ht="15.75" customHeight="1" x14ac:dyDescent="0.2">
      <c r="B20" s="10" t="s">
        <v>39</v>
      </c>
      <c r="C20" s="12">
        <f>C16-C19</f>
        <v>1389719.4503748934</v>
      </c>
      <c r="D20" s="12">
        <f>D16-D19</f>
        <v>2067622.9902307633</v>
      </c>
      <c r="E20" s="12">
        <f>E16-E19</f>
        <v>2113024.8283107635</v>
      </c>
      <c r="F20" s="12">
        <f>F16-F19</f>
        <v>2344858.722062828</v>
      </c>
      <c r="G20" s="12">
        <f>G16-G19</f>
        <v>2253449.4497507634</v>
      </c>
      <c r="H20" s="9" t="s">
        <v>40</v>
      </c>
    </row>
    <row r="21" spans="2:8" ht="15.75" customHeight="1" x14ac:dyDescent="0.2">
      <c r="B21" s="10" t="s">
        <v>410</v>
      </c>
      <c r="C21" s="14">
        <f>C9*C10-'05_KOSTEN_MODELL'!C59-C17</f>
        <v>-770925.05496251071</v>
      </c>
      <c r="D21" s="14">
        <f>D9*D10-'05_KOSTEN_MODELL'!C60-D17</f>
        <v>-1015153.3009769239</v>
      </c>
      <c r="E21" s="14">
        <f>E9*E10-'05_KOSTEN_MODELL'!C61-E17</f>
        <v>-1058817.1171689238</v>
      </c>
      <c r="F21" s="14">
        <f>F9*F10-'05_KOSTEN_MODELL'!C62-F17</f>
        <v>-821673.1277937172</v>
      </c>
      <c r="G21" s="14">
        <f>G9*G10-'05_KOSTEN_MODELL'!C63-G17</f>
        <v>-941184.05502492376</v>
      </c>
      <c r="H21" s="9"/>
    </row>
    <row r="22" spans="2:8" ht="15.75" customHeight="1" x14ac:dyDescent="0.2">
      <c r="B22" s="10" t="s">
        <v>411</v>
      </c>
      <c r="C22" s="41">
        <f>IF((C9-'05_KOSTEN_MODELL'!C70)&gt;0,C17/((C9-'05_KOSTEN_MODELL'!C70)/12),"")</f>
        <v>15.480307524424997</v>
      </c>
      <c r="D22" s="41">
        <f>IF((D9-'05_KOSTEN_MODELL'!D70)&gt;0,D17/((D9-'05_KOSTEN_MODELL'!D70)/12),"")</f>
        <v>14.768144706200593</v>
      </c>
      <c r="E22" s="41">
        <f>IF((E9-'05_KOSTEN_MODELL'!E70)&gt;0,E17/((E9-'05_KOSTEN_MODELL'!E70)/12),"")</f>
        <v>14.987287053816424</v>
      </c>
      <c r="F22" s="41">
        <f>IF((F9-'05_KOSTEN_MODELL'!F70)&gt;0,F17/((F9-'05_KOSTEN_MODELL'!F70)/12),"")</f>
        <v>12.6371447755223</v>
      </c>
      <c r="G22" s="41">
        <f>IF((G9-'05_KOSTEN_MODELL'!G70)&gt;0,G17/((G9-'05_KOSTEN_MODELL'!G70)/12),"")</f>
        <v>13.700925764114713</v>
      </c>
      <c r="H22" s="9" t="s">
        <v>412</v>
      </c>
    </row>
    <row r="23" spans="2:8" ht="15.75" customHeight="1" x14ac:dyDescent="0.2">
      <c r="B23" s="10" t="s">
        <v>413</v>
      </c>
      <c r="C23" s="15">
        <f>IF(C19&gt;0,C20/C19,"")</f>
        <v>0.42037825403391266</v>
      </c>
      <c r="D23" s="15">
        <f>IF(D19&gt;0,D20/D19,"")</f>
        <v>0.6501144815072496</v>
      </c>
      <c r="E23" s="15">
        <f>IF(E19&gt;0,E20/E19,"")</f>
        <v>0.67401187069738799</v>
      </c>
      <c r="F23" s="15">
        <f>IF(F19&gt;0,F20/F19,"")</f>
        <v>0.8926161143961302</v>
      </c>
      <c r="G23" s="15">
        <f>IF(G19&gt;0,G20/G19,"")</f>
        <v>0.75251140116097037</v>
      </c>
      <c r="H23" s="9"/>
    </row>
    <row r="24" spans="2:8" ht="15.75" customHeight="1" x14ac:dyDescent="0.2">
      <c r="B24" s="10" t="s">
        <v>414</v>
      </c>
      <c r="C24" s="43">
        <f>RANK(C20,$C$20:$G$20,0)</f>
        <v>5</v>
      </c>
      <c r="D24" s="43">
        <f>RANK(D20,$C$20:$G$20,0)</f>
        <v>4</v>
      </c>
      <c r="E24" s="43">
        <f>RANK(E20,$C$20:$G$20,0)</f>
        <v>3</v>
      </c>
      <c r="F24" s="43">
        <f>RANK(F20,$C$20:$G$20,0)</f>
        <v>1</v>
      </c>
      <c r="G24" s="43">
        <f>RANK(G20,$C$20:$G$20,0)</f>
        <v>2</v>
      </c>
      <c r="H24" s="9"/>
    </row>
    <row r="29" spans="2:8" ht="21" x14ac:dyDescent="0.2">
      <c r="B29" s="151" t="s">
        <v>1098</v>
      </c>
      <c r="C29" s="151"/>
      <c r="D29" s="151"/>
      <c r="E29" s="151"/>
      <c r="F29" s="151"/>
      <c r="G29" s="151"/>
      <c r="H29" s="151"/>
    </row>
    <row r="31" spans="2:8" ht="32" x14ac:dyDescent="0.2">
      <c r="B31" s="6" t="s">
        <v>1099</v>
      </c>
      <c r="C31" s="6" t="s">
        <v>10</v>
      </c>
      <c r="D31" s="6" t="s">
        <v>11</v>
      </c>
      <c r="E31" s="6" t="s">
        <v>12</v>
      </c>
      <c r="F31" s="6" t="s">
        <v>13</v>
      </c>
      <c r="G31" s="6" t="s">
        <v>1143</v>
      </c>
      <c r="H31" s="6" t="s">
        <v>24</v>
      </c>
    </row>
    <row r="32" spans="2:8" ht="16" x14ac:dyDescent="0.2">
      <c r="B32" s="10" t="s">
        <v>1101</v>
      </c>
      <c r="C32" s="12">
        <f>C$9*C10</f>
        <v>469559.7994374893</v>
      </c>
      <c r="D32" s="12">
        <f t="shared" ref="D32:G32" si="0">D$9*D10</f>
        <v>524802.12878307619</v>
      </c>
      <c r="E32" s="12">
        <f t="shared" si="0"/>
        <v>524802.12878307619</v>
      </c>
      <c r="F32" s="12">
        <f t="shared" si="0"/>
        <v>497180.96411028277</v>
      </c>
      <c r="G32" s="12">
        <f t="shared" si="0"/>
        <v>524802.12878307619</v>
      </c>
      <c r="H32" s="9"/>
    </row>
    <row r="33" spans="2:8" ht="16" x14ac:dyDescent="0.2">
      <c r="B33" s="10" t="s">
        <v>1102</v>
      </c>
      <c r="C33" s="12">
        <f t="shared" ref="C33:G35" si="1">C$9*C11</f>
        <v>804959.65617855312</v>
      </c>
      <c r="D33" s="12">
        <f t="shared" si="1"/>
        <v>899660.79219955928</v>
      </c>
      <c r="E33" s="12">
        <f t="shared" si="1"/>
        <v>899660.79219955928</v>
      </c>
      <c r="F33" s="12">
        <f t="shared" si="1"/>
        <v>852310.2241890562</v>
      </c>
      <c r="G33" s="12">
        <f t="shared" si="1"/>
        <v>899660.79219955928</v>
      </c>
      <c r="H33" s="9"/>
    </row>
    <row r="34" spans="2:8" ht="16" x14ac:dyDescent="0.2">
      <c r="B34" s="10" t="s">
        <v>1103</v>
      </c>
      <c r="C34" s="12">
        <f t="shared" si="1"/>
        <v>1006199.5702231915</v>
      </c>
      <c r="D34" s="12">
        <f t="shared" si="1"/>
        <v>1124575.9902494494</v>
      </c>
      <c r="E34" s="12">
        <f t="shared" si="1"/>
        <v>1124575.9902494494</v>
      </c>
      <c r="F34" s="12">
        <f>F$9*F12</f>
        <v>1065387.7802363203</v>
      </c>
      <c r="G34" s="12">
        <f t="shared" si="1"/>
        <v>1124575.9902494494</v>
      </c>
      <c r="H34" s="9"/>
    </row>
    <row r="35" spans="2:8" ht="16" x14ac:dyDescent="0.2">
      <c r="B35" s="10" t="s">
        <v>1104</v>
      </c>
      <c r="C35" s="12">
        <f t="shared" si="1"/>
        <v>1207439.4842678299</v>
      </c>
      <c r="D35" s="12">
        <f t="shared" si="1"/>
        <v>1349491.1882993393</v>
      </c>
      <c r="E35" s="12">
        <f t="shared" si="1"/>
        <v>1349491.1882993393</v>
      </c>
      <c r="F35" s="12">
        <f t="shared" si="1"/>
        <v>1278465.3362835846</v>
      </c>
      <c r="G35" s="12">
        <f t="shared" si="1"/>
        <v>1349491.1882993393</v>
      </c>
      <c r="H35" s="9"/>
    </row>
    <row r="36" spans="2:8" ht="16" x14ac:dyDescent="0.2">
      <c r="B36" s="10" t="s">
        <v>1105</v>
      </c>
      <c r="C36" s="12">
        <f>C$9*C14</f>
        <v>1207439.4842678299</v>
      </c>
      <c r="D36" s="12">
        <f t="shared" ref="D36:G36" si="2">D$9*D14</f>
        <v>1349491.1882993393</v>
      </c>
      <c r="E36" s="12">
        <f t="shared" si="2"/>
        <v>1349491.1882993393</v>
      </c>
      <c r="F36" s="12">
        <f t="shared" si="2"/>
        <v>1278465.3362835846</v>
      </c>
      <c r="G36" s="12">
        <f t="shared" si="2"/>
        <v>1349491.1882993393</v>
      </c>
      <c r="H36" s="9"/>
    </row>
    <row r="38" spans="2:8" ht="32" x14ac:dyDescent="0.2">
      <c r="B38" s="6" t="s">
        <v>1100</v>
      </c>
      <c r="C38" s="6" t="s">
        <v>10</v>
      </c>
      <c r="D38" s="6" t="s">
        <v>11</v>
      </c>
      <c r="E38" s="6" t="s">
        <v>12</v>
      </c>
      <c r="F38" s="6" t="s">
        <v>13</v>
      </c>
      <c r="G38" s="6" t="s">
        <v>1143</v>
      </c>
      <c r="H38" s="6" t="s">
        <v>24</v>
      </c>
    </row>
    <row r="39" spans="2:8" ht="16" x14ac:dyDescent="0.2">
      <c r="B39" s="10" t="s">
        <v>1111</v>
      </c>
      <c r="C39" s="12">
        <f>'05_KOSTEN_MODELL'!C67</f>
        <v>849830</v>
      </c>
      <c r="D39" s="12">
        <f>'05_KOSTEN_MODELL'!D67</f>
        <v>1149770</v>
      </c>
      <c r="E39" s="12">
        <f>'05_KOSTEN_MODELL'!E67</f>
        <v>1199760</v>
      </c>
      <c r="F39" s="12">
        <f>'05_KOSTEN_MODELL'!F67</f>
        <v>999800</v>
      </c>
      <c r="G39" s="12">
        <f>'05_KOSTEN_MODELL'!G67</f>
        <v>1099780</v>
      </c>
      <c r="H39" s="9"/>
    </row>
    <row r="40" spans="2:8" ht="16" x14ac:dyDescent="0.2">
      <c r="B40" s="10" t="s">
        <v>1106</v>
      </c>
      <c r="C40" s="12">
        <f>'05_KOSTEN_MODELL'!$C$59</f>
        <v>390654.85440000001</v>
      </c>
      <c r="D40" s="12">
        <f>'05_KOSTEN_MODELL'!$C$60</f>
        <v>390185.42976000003</v>
      </c>
      <c r="E40" s="12">
        <f>'05_KOSTEN_MODELL'!$C$61</f>
        <v>383859.24595200003</v>
      </c>
      <c r="F40" s="12">
        <f>'05_KOSTEN_MODELL'!$C$62</f>
        <v>319054.09190399997</v>
      </c>
      <c r="G40" s="12">
        <f>'05_KOSTEN_MODELL'!$C$63</f>
        <v>366206.183808</v>
      </c>
      <c r="H40" s="9"/>
    </row>
    <row r="41" spans="2:8" ht="16" x14ac:dyDescent="0.2">
      <c r="B41" s="10" t="s">
        <v>1107</v>
      </c>
      <c r="C41" s="12">
        <f>'05_KOSTEN_MODELL'!$D$59</f>
        <v>462479.75040000002</v>
      </c>
      <c r="D41" s="12">
        <f>'05_KOSTEN_MODELL'!$D$60</f>
        <v>401571.30816000002</v>
      </c>
      <c r="E41" s="12">
        <f>'05_KOSTEN_MODELL'!$D$61</f>
        <v>386136.42163200001</v>
      </c>
      <c r="F41" s="12">
        <f>'05_KOSTEN_MODELL'!$D$62</f>
        <v>323608.443264</v>
      </c>
      <c r="G41" s="12">
        <f>'05_KOSTEN_MODELL'!$D$63</f>
        <v>375314.886528</v>
      </c>
      <c r="H41" s="9"/>
    </row>
    <row r="42" spans="2:8" ht="16" x14ac:dyDescent="0.2">
      <c r="B42" s="10" t="s">
        <v>1108</v>
      </c>
      <c r="C42" s="12">
        <f>'05_KOSTEN_MODELL'!$E$59</f>
        <v>505574.68800000002</v>
      </c>
      <c r="D42" s="12">
        <f>'05_KOSTEN_MODELL'!$E$60</f>
        <v>408402.83520000003</v>
      </c>
      <c r="E42" s="12">
        <f>'05_KOSTEN_MODELL'!$E$61</f>
        <v>387502.72704000003</v>
      </c>
      <c r="F42" s="12">
        <f>'05_KOSTEN_MODELL'!$E$62</f>
        <v>326341.05408000003</v>
      </c>
      <c r="G42" s="12">
        <f>'05_KOSTEN_MODELL'!$E$63</f>
        <v>380780.10816</v>
      </c>
      <c r="H42" s="9"/>
    </row>
    <row r="43" spans="2:8" ht="16" x14ac:dyDescent="0.2">
      <c r="B43" s="10" t="s">
        <v>1109</v>
      </c>
      <c r="C43" s="12">
        <f>'05_KOSTEN_MODELL'!$F$59</f>
        <v>548669.62560000003</v>
      </c>
      <c r="D43" s="12">
        <f>'05_KOSTEN_MODELL'!$F$60</f>
        <v>415234.36224000005</v>
      </c>
      <c r="E43" s="12">
        <f>'05_KOSTEN_MODELL'!$F$61</f>
        <v>388869.03244800004</v>
      </c>
      <c r="F43" s="12">
        <f>'05_KOSTEN_MODELL'!$F$62</f>
        <v>329073.664896</v>
      </c>
      <c r="G43" s="12">
        <f>'05_KOSTEN_MODELL'!$F$63</f>
        <v>386245.329792</v>
      </c>
      <c r="H43" s="9"/>
    </row>
    <row r="44" spans="2:8" ht="16" x14ac:dyDescent="0.2">
      <c r="B44" s="10" t="s">
        <v>1110</v>
      </c>
      <c r="C44" s="12">
        <f>'05_KOSTEN_MODELL'!$G$59</f>
        <v>548669.62560000003</v>
      </c>
      <c r="D44" s="12">
        <f>'05_KOSTEN_MODELL'!$G$60</f>
        <v>415234.36224000005</v>
      </c>
      <c r="E44" s="12">
        <f>'05_KOSTEN_MODELL'!$G$61</f>
        <v>388869.03244800004</v>
      </c>
      <c r="F44" s="12">
        <f>'05_KOSTEN_MODELL'!$G$62</f>
        <v>329073.664896</v>
      </c>
      <c r="G44" s="12">
        <f>'05_KOSTEN_MODELL'!$G$63</f>
        <v>386245.329792</v>
      </c>
      <c r="H44" s="9"/>
    </row>
    <row r="46" spans="2:8" ht="44" x14ac:dyDescent="0.2">
      <c r="B46" s="140" t="s">
        <v>1112</v>
      </c>
      <c r="C46" s="141"/>
      <c r="D46" s="141"/>
      <c r="E46" s="141"/>
      <c r="F46" s="141"/>
      <c r="G46" s="141"/>
      <c r="H46" s="141"/>
    </row>
    <row r="48" spans="2:8" x14ac:dyDescent="0.2">
      <c r="B48" s="142" t="s">
        <v>1113</v>
      </c>
      <c r="C48" s="142" t="s">
        <v>10</v>
      </c>
      <c r="D48" s="142" t="s">
        <v>11</v>
      </c>
      <c r="E48" s="142" t="s">
        <v>12</v>
      </c>
      <c r="F48" s="142" t="s">
        <v>13</v>
      </c>
      <c r="G48" s="142" t="s">
        <v>1143</v>
      </c>
      <c r="H48" s="142" t="s">
        <v>24</v>
      </c>
    </row>
    <row r="49" spans="2:8" x14ac:dyDescent="0.2">
      <c r="B49" s="148" t="s">
        <v>1114</v>
      </c>
      <c r="C49" s="149">
        <f>-C39</f>
        <v>-849830</v>
      </c>
      <c r="D49" s="149">
        <f>-D39</f>
        <v>-1149770</v>
      </c>
      <c r="E49" s="149">
        <f>-E39</f>
        <v>-1199760</v>
      </c>
      <c r="F49" s="149">
        <f>-F39</f>
        <v>-999800</v>
      </c>
      <c r="G49" s="149">
        <f>-G39</f>
        <v>-1099780</v>
      </c>
      <c r="H49" s="9"/>
    </row>
    <row r="50" spans="2:8" x14ac:dyDescent="0.2">
      <c r="B50" s="148" t="s">
        <v>1115</v>
      </c>
      <c r="C50" s="149">
        <f t="shared" ref="C50:G54" si="3">C49+(C32-C40)</f>
        <v>-770925.05496251071</v>
      </c>
      <c r="D50" s="149">
        <f t="shared" si="3"/>
        <v>-1015153.3009769239</v>
      </c>
      <c r="E50" s="149">
        <f t="shared" si="3"/>
        <v>-1058817.1171689238</v>
      </c>
      <c r="F50" s="149">
        <f t="shared" si="3"/>
        <v>-821673.1277937172</v>
      </c>
      <c r="G50" s="149">
        <f t="shared" si="3"/>
        <v>-941184.05502492376</v>
      </c>
      <c r="H50" s="9"/>
    </row>
    <row r="51" spans="2:8" x14ac:dyDescent="0.2">
      <c r="B51" s="148" t="s">
        <v>1116</v>
      </c>
      <c r="C51" s="149">
        <f t="shared" si="3"/>
        <v>-428445.1491839576</v>
      </c>
      <c r="D51" s="149">
        <f t="shared" si="3"/>
        <v>-517063.81693736464</v>
      </c>
      <c r="E51" s="149">
        <f t="shared" si="3"/>
        <v>-545292.74660136458</v>
      </c>
      <c r="F51" s="149">
        <f t="shared" si="3"/>
        <v>-292971.346868661</v>
      </c>
      <c r="G51" s="149">
        <f t="shared" si="3"/>
        <v>-416838.14935336448</v>
      </c>
      <c r="H51" s="9"/>
    </row>
    <row r="52" spans="2:8" x14ac:dyDescent="0.2">
      <c r="B52" s="148" t="s">
        <v>1117</v>
      </c>
      <c r="C52" s="149">
        <f t="shared" si="3"/>
        <v>72179.733039233892</v>
      </c>
      <c r="D52" s="149">
        <f t="shared" si="3"/>
        <v>199109.33811208466</v>
      </c>
      <c r="E52" s="149">
        <f t="shared" si="3"/>
        <v>191780.51660808478</v>
      </c>
      <c r="F52" s="149">
        <f t="shared" si="3"/>
        <v>446075.37928765931</v>
      </c>
      <c r="G52" s="149">
        <f t="shared" si="3"/>
        <v>326957.73273608484</v>
      </c>
      <c r="H52" s="9"/>
    </row>
    <row r="53" spans="2:8" x14ac:dyDescent="0.2">
      <c r="B53" s="148" t="s">
        <v>314</v>
      </c>
      <c r="C53" s="149">
        <f t="shared" si="3"/>
        <v>730949.59170706384</v>
      </c>
      <c r="D53" s="149">
        <f t="shared" si="3"/>
        <v>1133366.1641714238</v>
      </c>
      <c r="E53" s="149">
        <f t="shared" si="3"/>
        <v>1152402.672459424</v>
      </c>
      <c r="F53" s="149">
        <f t="shared" si="3"/>
        <v>1395467.0506752441</v>
      </c>
      <c r="G53" s="149">
        <f t="shared" si="3"/>
        <v>1290203.591243424</v>
      </c>
      <c r="H53" s="9"/>
    </row>
    <row r="54" spans="2:8" x14ac:dyDescent="0.2">
      <c r="B54" s="148" t="s">
        <v>1118</v>
      </c>
      <c r="C54" s="149">
        <f t="shared" si="3"/>
        <v>1389719.4503748938</v>
      </c>
      <c r="D54" s="149">
        <f t="shared" si="3"/>
        <v>2067622.9902307629</v>
      </c>
      <c r="E54" s="149">
        <f t="shared" si="3"/>
        <v>2113024.8283107635</v>
      </c>
      <c r="F54" s="149">
        <f t="shared" si="3"/>
        <v>2344858.722062829</v>
      </c>
      <c r="G54" s="149">
        <f t="shared" si="3"/>
        <v>2253449.4497507634</v>
      </c>
      <c r="H54" s="9"/>
    </row>
  </sheetData>
  <mergeCells count="2">
    <mergeCell ref="B2:H2"/>
    <mergeCell ref="B29:H29"/>
  </mergeCells>
  <phoneticPr fontId="41" type="noConversion"/>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44"/>
  <sheetViews>
    <sheetView showGridLines="0" topLeftCell="A13" zoomScaleNormal="100" workbookViewId="0">
      <selection activeCell="C30" sqref="C30"/>
    </sheetView>
  </sheetViews>
  <sheetFormatPr baseColWidth="10" defaultColWidth="8.83203125" defaultRowHeight="15" x14ac:dyDescent="0.2"/>
  <cols>
    <col min="2" max="2" width="24" customWidth="1"/>
    <col min="3" max="3" width="58" customWidth="1"/>
    <col min="4" max="4" width="30" customWidth="1"/>
    <col min="5" max="5" width="52" customWidth="1"/>
  </cols>
  <sheetData>
    <row r="2" spans="2:5" ht="24" customHeight="1" x14ac:dyDescent="0.2">
      <c r="B2" s="151" t="s">
        <v>415</v>
      </c>
      <c r="C2" s="151"/>
      <c r="D2" s="151"/>
      <c r="E2" s="151"/>
    </row>
    <row r="4" spans="2:5" ht="15.75" customHeight="1" x14ac:dyDescent="0.2">
      <c r="B4" s="17" t="s">
        <v>416</v>
      </c>
      <c r="C4" s="17" t="s">
        <v>417</v>
      </c>
      <c r="D4" s="17" t="s">
        <v>418</v>
      </c>
      <c r="E4" s="17" t="s">
        <v>7</v>
      </c>
    </row>
    <row r="5" spans="2:5" ht="27.75" customHeight="1" x14ac:dyDescent="0.2">
      <c r="B5" s="10" t="s">
        <v>419</v>
      </c>
      <c r="C5" s="9" t="s">
        <v>420</v>
      </c>
      <c r="D5" s="9" t="s">
        <v>421</v>
      </c>
      <c r="E5" s="9" t="s">
        <v>422</v>
      </c>
    </row>
    <row r="6" spans="2:5" ht="27.75" customHeight="1" x14ac:dyDescent="0.2">
      <c r="B6" s="44" t="s">
        <v>423</v>
      </c>
      <c r="C6" s="9" t="s">
        <v>424</v>
      </c>
      <c r="D6" s="9" t="s">
        <v>425</v>
      </c>
      <c r="E6" s="9" t="s">
        <v>426</v>
      </c>
    </row>
    <row r="7" spans="2:5" ht="27.75" customHeight="1" x14ac:dyDescent="0.2">
      <c r="B7" s="10" t="s">
        <v>427</v>
      </c>
      <c r="C7" s="9" t="s">
        <v>428</v>
      </c>
      <c r="D7" s="9" t="s">
        <v>429</v>
      </c>
      <c r="E7" s="9" t="s">
        <v>430</v>
      </c>
    </row>
    <row r="8" spans="2:5" ht="27.75" customHeight="1" x14ac:dyDescent="0.2">
      <c r="B8" s="10" t="s">
        <v>431</v>
      </c>
      <c r="C8" s="9" t="s">
        <v>432</v>
      </c>
      <c r="D8" s="9" t="s">
        <v>433</v>
      </c>
      <c r="E8" s="9" t="s">
        <v>434</v>
      </c>
    </row>
    <row r="9" spans="2:5" ht="27.75" customHeight="1" x14ac:dyDescent="0.2">
      <c r="B9" s="10" t="s">
        <v>435</v>
      </c>
      <c r="C9" s="9" t="s">
        <v>436</v>
      </c>
      <c r="D9" s="9" t="s">
        <v>437</v>
      </c>
      <c r="E9" s="9" t="s">
        <v>438</v>
      </c>
    </row>
    <row r="10" spans="2:5" ht="27.75" customHeight="1" x14ac:dyDescent="0.2">
      <c r="B10" s="44" t="s">
        <v>439</v>
      </c>
      <c r="C10" s="9" t="s">
        <v>440</v>
      </c>
      <c r="D10" s="9" t="s">
        <v>441</v>
      </c>
      <c r="E10" s="9" t="s">
        <v>442</v>
      </c>
    </row>
    <row r="11" spans="2:5" ht="27.75" customHeight="1" x14ac:dyDescent="0.2">
      <c r="B11" s="10" t="s">
        <v>443</v>
      </c>
      <c r="C11" s="9" t="s">
        <v>444</v>
      </c>
      <c r="D11" s="9" t="s">
        <v>445</v>
      </c>
      <c r="E11" s="9" t="s">
        <v>446</v>
      </c>
    </row>
    <row r="12" spans="2:5" ht="27.75" customHeight="1" x14ac:dyDescent="0.2">
      <c r="B12" s="44" t="s">
        <v>447</v>
      </c>
      <c r="C12" s="9" t="s">
        <v>448</v>
      </c>
      <c r="D12" s="45" t="s">
        <v>390</v>
      </c>
      <c r="E12" s="9" t="s">
        <v>449</v>
      </c>
    </row>
    <row r="13" spans="2:5" ht="27.75" customHeight="1" x14ac:dyDescent="0.2">
      <c r="B13" s="44" t="s">
        <v>450</v>
      </c>
      <c r="C13" s="45" t="s">
        <v>451</v>
      </c>
      <c r="D13" s="9" t="s">
        <v>452</v>
      </c>
      <c r="E13" s="9" t="s">
        <v>453</v>
      </c>
    </row>
    <row r="14" spans="2:5" ht="27.75" customHeight="1" x14ac:dyDescent="0.2">
      <c r="B14" s="10" t="s">
        <v>454</v>
      </c>
      <c r="C14" s="9" t="s">
        <v>455</v>
      </c>
      <c r="D14" s="9" t="s">
        <v>456</v>
      </c>
      <c r="E14" s="9" t="s">
        <v>457</v>
      </c>
    </row>
    <row r="15" spans="2:5" ht="27.75" customHeight="1" x14ac:dyDescent="0.2">
      <c r="B15" s="10" t="s">
        <v>458</v>
      </c>
      <c r="C15" s="9" t="s">
        <v>459</v>
      </c>
      <c r="D15" s="9" t="s">
        <v>460</v>
      </c>
      <c r="E15" s="9" t="s">
        <v>461</v>
      </c>
    </row>
    <row r="16" spans="2:5" ht="27.75" customHeight="1" x14ac:dyDescent="0.2">
      <c r="B16" s="10" t="s">
        <v>462</v>
      </c>
      <c r="C16" s="9" t="s">
        <v>463</v>
      </c>
      <c r="D16" s="9" t="s">
        <v>464</v>
      </c>
      <c r="E16" s="9" t="s">
        <v>465</v>
      </c>
    </row>
    <row r="17" spans="2:5" ht="15" customHeight="1" x14ac:dyDescent="0.2">
      <c r="B17" s="10" t="s">
        <v>466</v>
      </c>
      <c r="C17" s="9" t="s">
        <v>467</v>
      </c>
      <c r="D17" s="9" t="s">
        <v>468</v>
      </c>
      <c r="E17" s="9" t="s">
        <v>469</v>
      </c>
    </row>
    <row r="18" spans="2:5" ht="15" customHeight="1" x14ac:dyDescent="0.2">
      <c r="B18" s="10" t="s">
        <v>470</v>
      </c>
      <c r="C18" s="9" t="s">
        <v>424</v>
      </c>
      <c r="D18" s="9" t="s">
        <v>471</v>
      </c>
      <c r="E18" s="9" t="s">
        <v>472</v>
      </c>
    </row>
    <row r="19" spans="2:5" ht="15" customHeight="1" x14ac:dyDescent="0.2">
      <c r="B19" s="10" t="s">
        <v>473</v>
      </c>
      <c r="C19" s="9" t="s">
        <v>424</v>
      </c>
      <c r="D19" s="9" t="s">
        <v>474</v>
      </c>
      <c r="E19" s="9" t="s">
        <v>475</v>
      </c>
    </row>
    <row r="20" spans="2:5" ht="15" customHeight="1" x14ac:dyDescent="0.2">
      <c r="B20" s="10" t="s">
        <v>476</v>
      </c>
      <c r="C20" s="9" t="s">
        <v>428</v>
      </c>
      <c r="D20" s="9" t="s">
        <v>477</v>
      </c>
      <c r="E20" s="9" t="s">
        <v>478</v>
      </c>
    </row>
    <row r="21" spans="2:5" ht="15" customHeight="1" x14ac:dyDescent="0.2">
      <c r="B21" s="10" t="s">
        <v>479</v>
      </c>
      <c r="C21" s="9" t="s">
        <v>432</v>
      </c>
      <c r="D21" s="9" t="s">
        <v>480</v>
      </c>
      <c r="E21" s="9" t="s">
        <v>481</v>
      </c>
    </row>
    <row r="22" spans="2:5" ht="15" customHeight="1" x14ac:dyDescent="0.2">
      <c r="B22" s="10" t="s">
        <v>482</v>
      </c>
      <c r="C22" s="9" t="s">
        <v>483</v>
      </c>
      <c r="D22" s="9" t="s">
        <v>484</v>
      </c>
      <c r="E22" s="9" t="s">
        <v>485</v>
      </c>
    </row>
    <row r="23" spans="2:5" ht="15" customHeight="1" x14ac:dyDescent="0.2">
      <c r="B23" s="10" t="s">
        <v>486</v>
      </c>
      <c r="C23" s="9" t="s">
        <v>487</v>
      </c>
      <c r="D23" s="9" t="s">
        <v>488</v>
      </c>
      <c r="E23" s="9" t="s">
        <v>489</v>
      </c>
    </row>
    <row r="24" spans="2:5" ht="15" customHeight="1" x14ac:dyDescent="0.2">
      <c r="B24" s="10" t="s">
        <v>490</v>
      </c>
      <c r="C24" s="9" t="s">
        <v>491</v>
      </c>
      <c r="D24" s="9" t="s">
        <v>492</v>
      </c>
      <c r="E24" s="9" t="s">
        <v>493</v>
      </c>
    </row>
    <row r="25" spans="2:5" ht="15" customHeight="1" x14ac:dyDescent="0.2">
      <c r="B25" s="10" t="s">
        <v>494</v>
      </c>
      <c r="C25" s="9" t="s">
        <v>495</v>
      </c>
      <c r="D25" s="9" t="s">
        <v>496</v>
      </c>
      <c r="E25" s="9" t="s">
        <v>497</v>
      </c>
    </row>
    <row r="26" spans="2:5" ht="15" customHeight="1" x14ac:dyDescent="0.2">
      <c r="B26" s="10" t="s">
        <v>498</v>
      </c>
      <c r="C26" s="9" t="s">
        <v>499</v>
      </c>
      <c r="D26" s="9" t="s">
        <v>500</v>
      </c>
      <c r="E26" s="9" t="s">
        <v>501</v>
      </c>
    </row>
    <row r="27" spans="2:5" ht="15" customHeight="1" x14ac:dyDescent="0.2">
      <c r="B27" s="10" t="s">
        <v>502</v>
      </c>
      <c r="C27" s="9" t="s">
        <v>503</v>
      </c>
      <c r="D27" s="9" t="s">
        <v>504</v>
      </c>
      <c r="E27" s="9" t="s">
        <v>505</v>
      </c>
    </row>
    <row r="28" spans="2:5" ht="15" customHeight="1" x14ac:dyDescent="0.2">
      <c r="B28" s="10" t="s">
        <v>506</v>
      </c>
      <c r="C28" s="9" t="s">
        <v>507</v>
      </c>
      <c r="D28" s="9" t="s">
        <v>508</v>
      </c>
      <c r="E28" s="9" t="s">
        <v>509</v>
      </c>
    </row>
    <row r="29" spans="2:5" ht="15" customHeight="1" x14ac:dyDescent="0.2">
      <c r="B29" s="10" t="s">
        <v>510</v>
      </c>
      <c r="C29" s="9" t="s">
        <v>511</v>
      </c>
      <c r="D29" s="9" t="s">
        <v>512</v>
      </c>
      <c r="E29" s="9" t="s">
        <v>513</v>
      </c>
    </row>
    <row r="30" spans="2:5" ht="15" customHeight="1" x14ac:dyDescent="0.2">
      <c r="B30" s="10" t="s">
        <v>514</v>
      </c>
      <c r="C30" s="9" t="s">
        <v>515</v>
      </c>
      <c r="D30" s="9" t="s">
        <v>516</v>
      </c>
      <c r="E30" s="9" t="s">
        <v>517</v>
      </c>
    </row>
    <row r="31" spans="2:5" ht="15" customHeight="1" x14ac:dyDescent="0.2">
      <c r="B31" s="10" t="s">
        <v>518</v>
      </c>
      <c r="C31" s="9" t="s">
        <v>519</v>
      </c>
      <c r="D31" s="9" t="s">
        <v>520</v>
      </c>
      <c r="E31" s="9" t="s">
        <v>521</v>
      </c>
    </row>
    <row r="32" spans="2:5" ht="15" customHeight="1" x14ac:dyDescent="0.2">
      <c r="B32" s="10" t="s">
        <v>522</v>
      </c>
      <c r="C32" s="9" t="s">
        <v>523</v>
      </c>
      <c r="D32" s="9" t="s">
        <v>524</v>
      </c>
      <c r="E32" s="9" t="s">
        <v>525</v>
      </c>
    </row>
    <row r="33" spans="2:5" ht="15" customHeight="1" x14ac:dyDescent="0.2">
      <c r="B33" s="10" t="s">
        <v>526</v>
      </c>
      <c r="C33" s="9" t="s">
        <v>527</v>
      </c>
      <c r="D33" s="9" t="s">
        <v>528</v>
      </c>
      <c r="E33" s="9" t="s">
        <v>529</v>
      </c>
    </row>
    <row r="34" spans="2:5" ht="15" customHeight="1" x14ac:dyDescent="0.2">
      <c r="B34" s="10" t="s">
        <v>530</v>
      </c>
      <c r="C34" s="9" t="s">
        <v>531</v>
      </c>
      <c r="D34" s="9" t="s">
        <v>532</v>
      </c>
      <c r="E34" s="9" t="s">
        <v>533</v>
      </c>
    </row>
    <row r="35" spans="2:5" ht="15" customHeight="1" x14ac:dyDescent="0.2">
      <c r="B35" s="10" t="s">
        <v>534</v>
      </c>
      <c r="C35" s="9" t="s">
        <v>535</v>
      </c>
      <c r="D35" s="9" t="s">
        <v>536</v>
      </c>
      <c r="E35" s="9" t="s">
        <v>537</v>
      </c>
    </row>
    <row r="36" spans="2:5" ht="15" customHeight="1" x14ac:dyDescent="0.2">
      <c r="B36" s="10" t="s">
        <v>538</v>
      </c>
      <c r="C36" s="9" t="s">
        <v>539</v>
      </c>
      <c r="D36" s="9" t="s">
        <v>540</v>
      </c>
      <c r="E36" s="9" t="s">
        <v>541</v>
      </c>
    </row>
    <row r="37" spans="2:5" ht="15" customHeight="1" x14ac:dyDescent="0.2">
      <c r="B37" s="10" t="s">
        <v>542</v>
      </c>
      <c r="C37" s="9" t="s">
        <v>543</v>
      </c>
      <c r="D37" s="9" t="s">
        <v>544</v>
      </c>
      <c r="E37" s="9" t="s">
        <v>545</v>
      </c>
    </row>
    <row r="38" spans="2:5" ht="15" customHeight="1" x14ac:dyDescent="0.2">
      <c r="B38" s="10" t="s">
        <v>546</v>
      </c>
      <c r="C38" s="9" t="s">
        <v>547</v>
      </c>
      <c r="D38" s="9" t="s">
        <v>548</v>
      </c>
      <c r="E38" s="9" t="s">
        <v>549</v>
      </c>
    </row>
    <row r="39" spans="2:5" ht="15" customHeight="1" x14ac:dyDescent="0.2">
      <c r="B39" s="10" t="s">
        <v>550</v>
      </c>
      <c r="C39" s="9" t="s">
        <v>551</v>
      </c>
      <c r="D39" s="9" t="s">
        <v>552</v>
      </c>
      <c r="E39" s="9" t="s">
        <v>553</v>
      </c>
    </row>
    <row r="40" spans="2:5" ht="15" customHeight="1" x14ac:dyDescent="0.2">
      <c r="B40" s="10" t="s">
        <v>554</v>
      </c>
      <c r="C40" s="9" t="s">
        <v>555</v>
      </c>
      <c r="D40" s="9" t="s">
        <v>556</v>
      </c>
      <c r="E40" s="9" t="s">
        <v>557</v>
      </c>
    </row>
    <row r="41" spans="2:5" ht="15" customHeight="1" x14ac:dyDescent="0.2">
      <c r="B41" s="10" t="s">
        <v>558</v>
      </c>
      <c r="C41" s="9" t="s">
        <v>559</v>
      </c>
      <c r="D41" s="9" t="s">
        <v>560</v>
      </c>
      <c r="E41" s="9" t="s">
        <v>561</v>
      </c>
    </row>
    <row r="42" spans="2:5" ht="15" customHeight="1" x14ac:dyDescent="0.2">
      <c r="B42" s="10" t="s">
        <v>562</v>
      </c>
      <c r="C42" s="9" t="s">
        <v>563</v>
      </c>
      <c r="D42" s="9" t="s">
        <v>564</v>
      </c>
      <c r="E42" s="9" t="s">
        <v>565</v>
      </c>
    </row>
    <row r="43" spans="2:5" ht="50" customHeight="1" x14ac:dyDescent="0.2">
      <c r="B43" s="10" t="s">
        <v>566</v>
      </c>
      <c r="C43" s="9" t="s">
        <v>567</v>
      </c>
      <c r="D43" s="9" t="s">
        <v>568</v>
      </c>
      <c r="E43" s="9" t="s">
        <v>569</v>
      </c>
    </row>
    <row r="44" spans="2:5" ht="59" customHeight="1" x14ac:dyDescent="0.2">
      <c r="B44" s="10" t="s">
        <v>570</v>
      </c>
      <c r="C44" s="9" t="s">
        <v>571</v>
      </c>
      <c r="D44" s="9" t="s">
        <v>572</v>
      </c>
      <c r="E44" s="9" t="s">
        <v>573</v>
      </c>
    </row>
  </sheetData>
  <mergeCells count="1">
    <mergeCell ref="B2:E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4"/>
  <sheetViews>
    <sheetView zoomScale="90" zoomScaleNormal="130" workbookViewId="0">
      <selection activeCell="C31" sqref="C31"/>
    </sheetView>
  </sheetViews>
  <sheetFormatPr baseColWidth="10" defaultColWidth="10.6640625" defaultRowHeight="15" x14ac:dyDescent="0.2"/>
  <cols>
    <col min="2" max="2" width="27.5" customWidth="1"/>
    <col min="3" max="3" width="77" customWidth="1"/>
    <col min="4" max="4" width="21.1640625" customWidth="1"/>
    <col min="5" max="5" width="110.5" customWidth="1"/>
  </cols>
  <sheetData>
    <row r="1" spans="1:5" ht="15.75" customHeight="1" x14ac:dyDescent="0.2">
      <c r="A1" s="46"/>
      <c r="B1" s="46"/>
      <c r="C1" s="46"/>
      <c r="D1" s="46"/>
      <c r="E1" s="46"/>
    </row>
    <row r="2" spans="1:5" ht="18.75" customHeight="1" x14ac:dyDescent="0.2">
      <c r="A2" s="46"/>
      <c r="B2" s="47" t="s">
        <v>574</v>
      </c>
      <c r="C2" s="46"/>
      <c r="D2" s="46"/>
      <c r="E2" s="46"/>
    </row>
    <row r="3" spans="1:5" ht="15.75" customHeight="1" x14ac:dyDescent="0.2">
      <c r="A3" s="46"/>
      <c r="B3" s="48"/>
      <c r="C3" s="48"/>
      <c r="D3" s="48"/>
      <c r="E3" s="48"/>
    </row>
    <row r="4" spans="1:5" ht="15.75" customHeight="1" x14ac:dyDescent="0.2">
      <c r="A4" s="46"/>
      <c r="B4" s="49" t="s">
        <v>416</v>
      </c>
      <c r="C4" s="49" t="s">
        <v>575</v>
      </c>
      <c r="D4" s="49" t="s">
        <v>43</v>
      </c>
      <c r="E4" s="49" t="s">
        <v>576</v>
      </c>
    </row>
    <row r="5" spans="1:5" ht="15.75" customHeight="1" x14ac:dyDescent="0.2">
      <c r="A5" s="46"/>
      <c r="B5" s="50"/>
      <c r="C5" s="50"/>
      <c r="D5" s="50"/>
      <c r="E5" s="50"/>
    </row>
    <row r="6" spans="1:5" ht="15.75" customHeight="1" x14ac:dyDescent="0.2">
      <c r="A6" s="46"/>
      <c r="B6" s="48"/>
      <c r="C6" s="48"/>
      <c r="D6" s="48"/>
      <c r="E6" s="48"/>
    </row>
    <row r="7" spans="1:5" ht="15.75" customHeight="1" x14ac:dyDescent="0.2">
      <c r="A7" s="51"/>
      <c r="B7" s="50" t="s">
        <v>577</v>
      </c>
      <c r="C7" s="46"/>
      <c r="D7" s="46"/>
      <c r="E7" s="46"/>
    </row>
    <row r="8" spans="1:5" ht="15.75" customHeight="1" x14ac:dyDescent="0.2">
      <c r="A8" s="46"/>
      <c r="B8" s="52"/>
      <c r="C8" s="46" t="s">
        <v>71</v>
      </c>
      <c r="D8" s="53">
        <v>193</v>
      </c>
      <c r="E8" s="46" t="s">
        <v>578</v>
      </c>
    </row>
    <row r="9" spans="1:5" ht="15.75" customHeight="1" x14ac:dyDescent="0.2">
      <c r="A9" s="46"/>
      <c r="B9" s="46"/>
      <c r="C9" s="46" t="s">
        <v>73</v>
      </c>
      <c r="D9" s="53">
        <v>3</v>
      </c>
      <c r="E9" s="46" t="s">
        <v>579</v>
      </c>
    </row>
    <row r="10" spans="1:5" ht="15.75" customHeight="1" x14ac:dyDescent="0.2">
      <c r="A10" s="46"/>
      <c r="B10" s="46"/>
      <c r="C10" s="46" t="s">
        <v>580</v>
      </c>
      <c r="D10" s="53">
        <v>579</v>
      </c>
      <c r="E10" s="46"/>
    </row>
    <row r="11" spans="1:5" ht="15.75" customHeight="1" x14ac:dyDescent="0.2">
      <c r="A11" s="46"/>
      <c r="B11" s="46"/>
      <c r="C11" s="46" t="s">
        <v>581</v>
      </c>
      <c r="D11" s="53">
        <v>50</v>
      </c>
      <c r="E11" s="46"/>
    </row>
    <row r="12" spans="1:5" ht="15.75" customHeight="1" x14ac:dyDescent="0.2">
      <c r="A12" s="46"/>
      <c r="B12" s="46"/>
      <c r="C12" s="46" t="s">
        <v>582</v>
      </c>
      <c r="D12" s="46">
        <v>64</v>
      </c>
      <c r="E12" s="46" t="s">
        <v>583</v>
      </c>
    </row>
    <row r="13" spans="1:5" ht="15.75" customHeight="1" x14ac:dyDescent="0.2">
      <c r="A13" s="46"/>
      <c r="B13" s="46"/>
      <c r="C13" s="46" t="s">
        <v>584</v>
      </c>
      <c r="D13" s="46">
        <v>11</v>
      </c>
      <c r="E13" s="46" t="s">
        <v>583</v>
      </c>
    </row>
    <row r="14" spans="1:5" ht="15.75" customHeight="1" x14ac:dyDescent="0.2">
      <c r="A14" s="46"/>
      <c r="B14" s="46"/>
      <c r="C14" s="46" t="s">
        <v>585</v>
      </c>
      <c r="D14" s="46">
        <v>11</v>
      </c>
      <c r="E14" s="46" t="s">
        <v>583</v>
      </c>
    </row>
    <row r="15" spans="1:5" ht="15.75" customHeight="1" x14ac:dyDescent="0.2">
      <c r="A15" s="46"/>
      <c r="B15" s="46"/>
      <c r="C15" s="46" t="s">
        <v>586</v>
      </c>
      <c r="D15" s="46">
        <v>11</v>
      </c>
      <c r="E15" s="46" t="s">
        <v>583</v>
      </c>
    </row>
    <row r="16" spans="1:5" ht="15.75" customHeight="1" x14ac:dyDescent="0.2">
      <c r="A16" s="46"/>
      <c r="B16" s="46"/>
      <c r="C16" s="46" t="s">
        <v>587</v>
      </c>
      <c r="D16" s="46">
        <v>11</v>
      </c>
      <c r="E16" s="46" t="s">
        <v>583</v>
      </c>
    </row>
    <row r="17" spans="1:5" ht="15.75" customHeight="1" x14ac:dyDescent="0.2">
      <c r="A17" s="46"/>
      <c r="B17" s="46"/>
      <c r="C17" s="46" t="s">
        <v>588</v>
      </c>
      <c r="D17" s="46">
        <v>11</v>
      </c>
      <c r="E17" s="46" t="s">
        <v>583</v>
      </c>
    </row>
    <row r="18" spans="1:5" ht="15.75" customHeight="1" x14ac:dyDescent="0.2">
      <c r="A18" s="46"/>
      <c r="B18" s="46"/>
      <c r="C18" s="46" t="s">
        <v>589</v>
      </c>
      <c r="D18" s="46">
        <v>9</v>
      </c>
      <c r="E18" s="46" t="s">
        <v>583</v>
      </c>
    </row>
    <row r="19" spans="1:5" ht="15.75" customHeight="1" x14ac:dyDescent="0.2">
      <c r="A19" s="46"/>
      <c r="B19" s="46"/>
      <c r="C19" s="46" t="s">
        <v>590</v>
      </c>
      <c r="D19" s="46">
        <v>312</v>
      </c>
      <c r="E19" s="46" t="s">
        <v>591</v>
      </c>
    </row>
    <row r="20" spans="1:5" ht="15.75" customHeight="1" x14ac:dyDescent="0.2">
      <c r="A20" s="46"/>
      <c r="B20" s="46"/>
      <c r="C20" s="46" t="s">
        <v>592</v>
      </c>
      <c r="D20" s="46">
        <v>3</v>
      </c>
      <c r="E20" s="46" t="s">
        <v>583</v>
      </c>
    </row>
    <row r="21" spans="1:5" ht="15.75" customHeight="1" x14ac:dyDescent="0.2">
      <c r="A21" s="46"/>
      <c r="B21" s="46"/>
      <c r="C21" s="46" t="s">
        <v>593</v>
      </c>
      <c r="D21" s="46">
        <v>1</v>
      </c>
      <c r="E21" s="46" t="s">
        <v>583</v>
      </c>
    </row>
    <row r="22" spans="1:5" ht="15.75" customHeight="1" x14ac:dyDescent="0.2">
      <c r="A22" s="46"/>
      <c r="B22" s="46"/>
      <c r="C22" s="46" t="s">
        <v>594</v>
      </c>
      <c r="D22" s="46">
        <v>2</v>
      </c>
      <c r="E22" s="46" t="s">
        <v>583</v>
      </c>
    </row>
    <row r="23" spans="1:5" ht="15.75" customHeight="1" x14ac:dyDescent="0.2">
      <c r="A23" s="46"/>
      <c r="B23" s="46"/>
      <c r="C23" s="46"/>
      <c r="D23" s="46"/>
      <c r="E23" s="46"/>
    </row>
    <row r="24" spans="1:5" ht="15.75" customHeight="1" x14ac:dyDescent="0.2">
      <c r="A24" s="46"/>
      <c r="B24" s="48"/>
      <c r="C24" s="48"/>
      <c r="D24" s="48"/>
      <c r="E24" s="48"/>
    </row>
    <row r="25" spans="1:5" ht="15.75" customHeight="1" x14ac:dyDescent="0.2">
      <c r="A25" s="51"/>
      <c r="B25" s="50" t="s">
        <v>595</v>
      </c>
      <c r="C25" s="46"/>
      <c r="D25" s="46"/>
      <c r="E25" s="46"/>
    </row>
    <row r="26" spans="1:5" ht="15.75" customHeight="1" x14ac:dyDescent="0.2">
      <c r="A26" s="46"/>
      <c r="B26" s="46"/>
      <c r="C26" s="46" t="s">
        <v>596</v>
      </c>
      <c r="D26" s="53">
        <v>100</v>
      </c>
      <c r="E26" s="46" t="s">
        <v>597</v>
      </c>
    </row>
    <row r="27" spans="1:5" ht="15.75" customHeight="1" x14ac:dyDescent="0.2">
      <c r="A27" s="46"/>
      <c r="B27" s="46"/>
      <c r="C27" s="46" t="s">
        <v>598</v>
      </c>
      <c r="D27" s="54" t="s">
        <v>599</v>
      </c>
      <c r="E27" s="46" t="s">
        <v>600</v>
      </c>
    </row>
    <row r="28" spans="1:5" ht="15.75" customHeight="1" x14ac:dyDescent="0.2">
      <c r="A28" s="46"/>
      <c r="B28" s="46"/>
      <c r="C28" s="46" t="s">
        <v>601</v>
      </c>
      <c r="D28" s="54" t="s">
        <v>602</v>
      </c>
      <c r="E28" s="46"/>
    </row>
    <row r="29" spans="1:5" ht="15.75" customHeight="1" x14ac:dyDescent="0.2">
      <c r="A29" s="46"/>
      <c r="B29" s="48"/>
      <c r="C29" s="48"/>
      <c r="D29" s="48"/>
      <c r="E29" s="48"/>
    </row>
    <row r="30" spans="1:5" ht="15.75" customHeight="1" x14ac:dyDescent="0.2">
      <c r="A30" s="55"/>
      <c r="B30" s="50" t="s">
        <v>603</v>
      </c>
      <c r="C30" s="46"/>
      <c r="D30" s="46"/>
      <c r="E30" s="46"/>
    </row>
    <row r="31" spans="1:5" ht="15.75" customHeight="1" x14ac:dyDescent="0.2">
      <c r="A31" s="46"/>
      <c r="B31" s="46"/>
      <c r="C31" s="46" t="s">
        <v>604</v>
      </c>
      <c r="D31" s="46" t="s">
        <v>605</v>
      </c>
      <c r="E31" s="46" t="s">
        <v>606</v>
      </c>
    </row>
    <row r="32" spans="1:5" ht="15.75" customHeight="1" x14ac:dyDescent="0.2">
      <c r="A32" s="46"/>
      <c r="B32" s="46"/>
      <c r="C32" s="46"/>
      <c r="D32" s="46"/>
      <c r="E32" s="46"/>
    </row>
    <row r="33" spans="1:5" ht="15.75" customHeight="1" x14ac:dyDescent="0.2">
      <c r="A33" s="46"/>
      <c r="B33" s="46"/>
      <c r="C33" s="46"/>
      <c r="D33" s="46"/>
      <c r="E33" s="46"/>
    </row>
    <row r="34" spans="1:5" ht="15.75" customHeight="1" x14ac:dyDescent="0.2">
      <c r="A34" s="46"/>
      <c r="B34" s="48"/>
      <c r="C34" s="48"/>
      <c r="D34" s="48"/>
      <c r="E34" s="48"/>
    </row>
    <row r="35" spans="1:5" ht="15.75" customHeight="1" x14ac:dyDescent="0.2">
      <c r="A35" s="51"/>
      <c r="B35" s="50" t="s">
        <v>607</v>
      </c>
      <c r="C35" s="46"/>
      <c r="D35" s="46"/>
      <c r="E35" s="46"/>
    </row>
    <row r="36" spans="1:5" ht="15.75" customHeight="1" x14ac:dyDescent="0.2">
      <c r="A36" s="46"/>
      <c r="B36" s="46"/>
      <c r="C36" s="46" t="s">
        <v>608</v>
      </c>
      <c r="D36" s="53">
        <v>5</v>
      </c>
      <c r="E36" s="46" t="s">
        <v>609</v>
      </c>
    </row>
    <row r="37" spans="1:5" ht="15.75" customHeight="1" x14ac:dyDescent="0.2">
      <c r="A37" s="46"/>
      <c r="B37" s="46"/>
      <c r="C37" s="46"/>
      <c r="D37" s="46"/>
      <c r="E37" s="46"/>
    </row>
    <row r="38" spans="1:5" ht="15.75" customHeight="1" x14ac:dyDescent="0.2">
      <c r="A38" s="46"/>
      <c r="B38" s="48"/>
      <c r="C38" s="48"/>
      <c r="D38" s="48"/>
      <c r="E38" s="48"/>
    </row>
    <row r="39" spans="1:5" ht="15.75" customHeight="1" x14ac:dyDescent="0.2">
      <c r="A39" s="51"/>
      <c r="B39" s="50" t="s">
        <v>610</v>
      </c>
      <c r="C39" s="46"/>
      <c r="D39" s="46"/>
      <c r="E39" s="46"/>
    </row>
    <row r="40" spans="1:5" ht="15.75" customHeight="1" x14ac:dyDescent="0.2">
      <c r="A40" s="46"/>
      <c r="B40" s="46"/>
      <c r="C40" s="46" t="s">
        <v>611</v>
      </c>
      <c r="D40" s="53" t="s">
        <v>612</v>
      </c>
      <c r="E40" s="46"/>
    </row>
    <row r="41" spans="1:5" ht="15.75" customHeight="1" x14ac:dyDescent="0.2">
      <c r="A41" s="46"/>
      <c r="B41" s="46"/>
      <c r="C41" s="46" t="s">
        <v>613</v>
      </c>
      <c r="D41" s="53" t="s">
        <v>614</v>
      </c>
      <c r="E41" s="46"/>
    </row>
    <row r="42" spans="1:5" ht="15.75" customHeight="1" x14ac:dyDescent="0.2">
      <c r="A42" s="46"/>
      <c r="B42" s="46"/>
      <c r="C42" s="46" t="s">
        <v>615</v>
      </c>
      <c r="D42" s="53">
        <v>283</v>
      </c>
      <c r="E42" s="46" t="s">
        <v>616</v>
      </c>
    </row>
    <row r="43" spans="1:5" ht="15.75" customHeight="1" x14ac:dyDescent="0.2">
      <c r="A43" s="46"/>
      <c r="B43" s="46"/>
      <c r="C43" s="46" t="s">
        <v>617</v>
      </c>
      <c r="D43" s="53">
        <v>234</v>
      </c>
      <c r="E43" s="46" t="s">
        <v>618</v>
      </c>
    </row>
    <row r="44" spans="1:5" ht="15.75" customHeight="1" x14ac:dyDescent="0.2">
      <c r="A44" s="46"/>
      <c r="B44" s="46"/>
      <c r="C44" s="46" t="s">
        <v>161</v>
      </c>
      <c r="D44" s="53" t="s">
        <v>619</v>
      </c>
      <c r="E44" s="46"/>
    </row>
    <row r="45" spans="1:5" ht="15.75" customHeight="1" x14ac:dyDescent="0.2">
      <c r="A45" s="46"/>
      <c r="B45" s="46"/>
      <c r="C45" s="46" t="s">
        <v>163</v>
      </c>
      <c r="D45" s="53" t="s">
        <v>620</v>
      </c>
      <c r="E45" s="46" t="s">
        <v>621</v>
      </c>
    </row>
    <row r="46" spans="1:5" ht="15.75" customHeight="1" x14ac:dyDescent="0.2">
      <c r="A46" s="46"/>
      <c r="B46" s="46"/>
      <c r="C46" s="46" t="s">
        <v>622</v>
      </c>
      <c r="D46" s="53" t="s">
        <v>623</v>
      </c>
      <c r="E46" s="56">
        <v>0.09</v>
      </c>
    </row>
    <row r="47" spans="1:5" ht="15.75" customHeight="1" x14ac:dyDescent="0.2">
      <c r="A47" s="46"/>
      <c r="B47" s="46"/>
      <c r="C47" s="46" t="s">
        <v>164</v>
      </c>
      <c r="D47" s="53" t="s">
        <v>624</v>
      </c>
      <c r="E47" s="46" t="s">
        <v>625</v>
      </c>
    </row>
    <row r="48" spans="1:5" ht="15.75" customHeight="1" x14ac:dyDescent="0.2">
      <c r="A48" s="46"/>
      <c r="B48" s="46"/>
      <c r="C48" s="46" t="s">
        <v>626</v>
      </c>
      <c r="D48" s="53">
        <v>20</v>
      </c>
      <c r="E48" s="46" t="s">
        <v>627</v>
      </c>
    </row>
    <row r="49" spans="1:5" ht="15.75" customHeight="1" x14ac:dyDescent="0.2">
      <c r="A49" s="46"/>
      <c r="B49" s="46"/>
      <c r="C49" s="46" t="s">
        <v>628</v>
      </c>
      <c r="D49" s="53">
        <v>43.47</v>
      </c>
      <c r="E49" s="46"/>
    </row>
    <row r="50" spans="1:5" ht="15.75" customHeight="1" x14ac:dyDescent="0.2">
      <c r="A50" s="46"/>
      <c r="B50" s="46"/>
      <c r="C50" s="46" t="s">
        <v>629</v>
      </c>
      <c r="D50" s="53">
        <v>23</v>
      </c>
      <c r="E50" s="46"/>
    </row>
    <row r="51" spans="1:5" ht="15.75" customHeight="1" x14ac:dyDescent="0.2">
      <c r="A51" s="46"/>
      <c r="B51" s="48"/>
      <c r="C51" s="48"/>
      <c r="D51" s="48"/>
      <c r="E51" s="48"/>
    </row>
    <row r="52" spans="1:5" ht="15.75" customHeight="1" x14ac:dyDescent="0.2">
      <c r="A52" s="51"/>
      <c r="B52" s="50" t="s">
        <v>630</v>
      </c>
      <c r="C52" s="46"/>
      <c r="D52" s="46"/>
      <c r="E52" s="46"/>
    </row>
    <row r="53" spans="1:5" ht="15.75" customHeight="1" x14ac:dyDescent="0.2">
      <c r="A53" s="46"/>
      <c r="B53" s="46"/>
      <c r="C53" s="46" t="s">
        <v>631</v>
      </c>
      <c r="D53" s="53">
        <v>33</v>
      </c>
      <c r="E53" s="46" t="s">
        <v>632</v>
      </c>
    </row>
    <row r="54" spans="1:5" ht="15.75" customHeight="1" x14ac:dyDescent="0.2">
      <c r="A54" s="46"/>
      <c r="B54" s="46"/>
      <c r="C54" s="46" t="s">
        <v>633</v>
      </c>
      <c r="D54" s="53">
        <v>2</v>
      </c>
      <c r="E54" s="57" t="s">
        <v>634</v>
      </c>
    </row>
    <row r="55" spans="1:5" ht="15.75" customHeight="1" x14ac:dyDescent="0.2">
      <c r="A55" s="46"/>
      <c r="B55" s="46"/>
      <c r="C55" s="46"/>
      <c r="D55" s="46"/>
      <c r="E55" s="46"/>
    </row>
    <row r="56" spans="1:5" ht="15.75" customHeight="1" x14ac:dyDescent="0.2">
      <c r="A56" s="46"/>
      <c r="B56" s="48"/>
      <c r="C56" s="48"/>
      <c r="D56" s="48"/>
      <c r="E56" s="48"/>
    </row>
    <row r="57" spans="1:5" ht="15.75" customHeight="1" x14ac:dyDescent="0.2">
      <c r="A57" s="51"/>
      <c r="B57" s="50" t="s">
        <v>635</v>
      </c>
      <c r="C57" s="46"/>
      <c r="D57" s="46"/>
      <c r="E57" s="46"/>
    </row>
    <row r="58" spans="1:5" ht="15.75" customHeight="1" x14ac:dyDescent="0.2">
      <c r="A58" s="57"/>
      <c r="B58" s="50"/>
      <c r="C58" s="46"/>
      <c r="D58" s="46"/>
      <c r="E58" s="46"/>
    </row>
    <row r="59" spans="1:5" ht="15.75" customHeight="1" x14ac:dyDescent="0.2">
      <c r="A59" s="57"/>
      <c r="B59" s="50"/>
      <c r="C59" s="46" t="s">
        <v>636</v>
      </c>
      <c r="D59" s="53">
        <v>103</v>
      </c>
      <c r="E59" s="46" t="s">
        <v>637</v>
      </c>
    </row>
    <row r="60" spans="1:5" ht="15.75" customHeight="1" x14ac:dyDescent="0.2">
      <c r="A60" s="46"/>
      <c r="B60" s="46"/>
      <c r="C60" s="46" t="e">
        <f t="array" ref="C60">online umsatz in chf</f>
        <v>#NAME?</v>
      </c>
      <c r="D60" s="53" t="s">
        <v>638</v>
      </c>
      <c r="E60" s="46" t="s">
        <v>637</v>
      </c>
    </row>
    <row r="61" spans="1:5" ht="15.75" customHeight="1" x14ac:dyDescent="0.2">
      <c r="A61" s="46"/>
      <c r="B61" s="46"/>
      <c r="C61" s="46" t="s">
        <v>639</v>
      </c>
      <c r="D61" s="53">
        <v>104.9</v>
      </c>
      <c r="E61" s="46" t="s">
        <v>640</v>
      </c>
    </row>
    <row r="62" spans="1:5" ht="15.75" customHeight="1" x14ac:dyDescent="0.2">
      <c r="A62" s="46"/>
      <c r="B62" s="46"/>
      <c r="C62" s="46" t="s">
        <v>641</v>
      </c>
      <c r="D62" s="53" t="s">
        <v>642</v>
      </c>
      <c r="E62" s="46" t="s">
        <v>640</v>
      </c>
    </row>
    <row r="63" spans="1:5" ht="15.75" customHeight="1" x14ac:dyDescent="0.2">
      <c r="A63" s="46"/>
      <c r="B63" s="46"/>
      <c r="C63" s="46" t="s">
        <v>643</v>
      </c>
      <c r="D63" s="53">
        <v>37.799999999999997</v>
      </c>
      <c r="E63" s="46" t="s">
        <v>644</v>
      </c>
    </row>
    <row r="64" spans="1:5" ht="15.75" customHeight="1" x14ac:dyDescent="0.2">
      <c r="A64" s="46"/>
      <c r="B64" s="46"/>
      <c r="C64" s="46" t="s">
        <v>645</v>
      </c>
      <c r="D64" s="53" t="s">
        <v>646</v>
      </c>
      <c r="E64" s="46" t="s">
        <v>644</v>
      </c>
    </row>
    <row r="65" spans="1:5" ht="15.75" customHeight="1" x14ac:dyDescent="0.2">
      <c r="A65" s="46"/>
      <c r="B65" s="46"/>
      <c r="C65" s="46" t="s">
        <v>647</v>
      </c>
      <c r="D65" s="53" t="s">
        <v>648</v>
      </c>
      <c r="E65" s="46"/>
    </row>
    <row r="66" spans="1:5" ht="15.75" customHeight="1" x14ac:dyDescent="0.2">
      <c r="A66" s="46"/>
      <c r="B66" s="46"/>
      <c r="C66" s="46" t="s">
        <v>649</v>
      </c>
      <c r="D66" s="53">
        <v>25.62</v>
      </c>
      <c r="E66" s="46" t="s">
        <v>644</v>
      </c>
    </row>
    <row r="67" spans="1:5" ht="15.75" customHeight="1" x14ac:dyDescent="0.2">
      <c r="A67" s="46"/>
      <c r="B67" s="46"/>
      <c r="C67" s="46" t="s">
        <v>650</v>
      </c>
      <c r="D67" s="53" t="s">
        <v>651</v>
      </c>
      <c r="E67" s="46" t="s">
        <v>644</v>
      </c>
    </row>
    <row r="68" spans="1:5" ht="15.75" customHeight="1" x14ac:dyDescent="0.2">
      <c r="A68" s="46"/>
      <c r="B68" s="46"/>
      <c r="C68" s="46" t="s">
        <v>652</v>
      </c>
      <c r="D68" s="53">
        <v>503</v>
      </c>
      <c r="E68" s="46"/>
    </row>
    <row r="69" spans="1:5" ht="15.75" customHeight="1" x14ac:dyDescent="0.2">
      <c r="A69" s="46"/>
      <c r="B69" s="46"/>
      <c r="C69" s="46" t="s">
        <v>653</v>
      </c>
      <c r="D69" s="46" t="s">
        <v>654</v>
      </c>
      <c r="E69" s="46"/>
    </row>
    <row r="70" spans="1:5" ht="15.75" customHeight="1" x14ac:dyDescent="0.2">
      <c r="A70" s="46"/>
      <c r="B70" s="46"/>
      <c r="C70" s="46" t="s">
        <v>655</v>
      </c>
      <c r="D70" s="46" t="s">
        <v>654</v>
      </c>
      <c r="E70" s="46"/>
    </row>
    <row r="71" spans="1:5" ht="15.75" customHeight="1" x14ac:dyDescent="0.2">
      <c r="A71" s="46"/>
      <c r="B71" s="46"/>
      <c r="C71" s="46" t="s">
        <v>656</v>
      </c>
      <c r="D71" s="46" t="s">
        <v>654</v>
      </c>
      <c r="E71" s="46"/>
    </row>
    <row r="72" spans="1:5" ht="15.75" customHeight="1" x14ac:dyDescent="0.2">
      <c r="A72" s="46"/>
      <c r="B72" s="46"/>
      <c r="C72" s="46" t="s">
        <v>657</v>
      </c>
      <c r="D72" s="46"/>
      <c r="E72" s="46"/>
    </row>
    <row r="73" spans="1:5" ht="15.75" customHeight="1" x14ac:dyDescent="0.2">
      <c r="A73" s="46"/>
      <c r="B73" s="46"/>
      <c r="C73" s="46"/>
      <c r="D73" s="46"/>
      <c r="E73" s="46"/>
    </row>
    <row r="74" spans="1:5" ht="15.75" customHeight="1" x14ac:dyDescent="0.2">
      <c r="A74" s="46"/>
      <c r="B74" s="48"/>
      <c r="C74" s="48"/>
      <c r="D74" s="48"/>
      <c r="E74" s="48"/>
    </row>
    <row r="75" spans="1:5" ht="15.75" customHeight="1" x14ac:dyDescent="0.2">
      <c r="A75" s="51"/>
      <c r="B75" s="50" t="s">
        <v>658</v>
      </c>
      <c r="C75" s="46"/>
      <c r="D75" s="46"/>
      <c r="E75" s="46"/>
    </row>
    <row r="76" spans="1:5" ht="15.75" customHeight="1" x14ac:dyDescent="0.2">
      <c r="A76" s="46"/>
      <c r="B76" s="46"/>
      <c r="C76" s="46" t="s">
        <v>659</v>
      </c>
      <c r="D76" s="53" t="s">
        <v>660</v>
      </c>
      <c r="E76" s="46" t="s">
        <v>661</v>
      </c>
    </row>
    <row r="77" spans="1:5" ht="15.75" customHeight="1" x14ac:dyDescent="0.2">
      <c r="A77" s="46"/>
      <c r="B77" s="46"/>
      <c r="C77" s="46" t="s">
        <v>662</v>
      </c>
      <c r="D77" s="53" t="s">
        <v>663</v>
      </c>
      <c r="E77" s="46" t="s">
        <v>661</v>
      </c>
    </row>
    <row r="78" spans="1:5" ht="15.75" customHeight="1" x14ac:dyDescent="0.2">
      <c r="A78" s="46"/>
      <c r="B78" s="46"/>
      <c r="C78" s="46" t="s">
        <v>664</v>
      </c>
      <c r="D78" s="53">
        <v>27.49</v>
      </c>
      <c r="E78" s="46"/>
    </row>
    <row r="79" spans="1:5" ht="15.75" customHeight="1" x14ac:dyDescent="0.2">
      <c r="A79" s="46"/>
      <c r="B79" s="46"/>
      <c r="C79" s="46" t="s">
        <v>665</v>
      </c>
      <c r="D79" s="53" t="s">
        <v>666</v>
      </c>
      <c r="E79" s="46" t="s">
        <v>667</v>
      </c>
    </row>
    <row r="80" spans="1:5" ht="15.75" customHeight="1" x14ac:dyDescent="0.2">
      <c r="A80" s="46"/>
      <c r="B80" s="46"/>
      <c r="C80" s="46"/>
      <c r="D80" s="46"/>
      <c r="E80" s="46"/>
    </row>
    <row r="81" spans="1:5" ht="15.75" customHeight="1" x14ac:dyDescent="0.2">
      <c r="A81" s="46"/>
      <c r="B81" s="48"/>
      <c r="C81" s="48"/>
      <c r="D81" s="48"/>
      <c r="E81" s="48"/>
    </row>
    <row r="82" spans="1:5" ht="15.75" customHeight="1" x14ac:dyDescent="0.2">
      <c r="A82" s="51"/>
      <c r="B82" s="50" t="s">
        <v>668</v>
      </c>
      <c r="C82" s="46"/>
      <c r="D82" s="46"/>
      <c r="E82" s="46"/>
    </row>
    <row r="83" spans="1:5" ht="15.75" customHeight="1" x14ac:dyDescent="0.2">
      <c r="A83" s="46"/>
      <c r="B83" s="46"/>
      <c r="C83" s="46" t="s">
        <v>669</v>
      </c>
      <c r="D83" s="53" t="s">
        <v>670</v>
      </c>
      <c r="E83" s="46" t="s">
        <v>661</v>
      </c>
    </row>
    <row r="84" spans="1:5" ht="15.75" customHeight="1" x14ac:dyDescent="0.2">
      <c r="A84" s="46"/>
      <c r="B84" s="46"/>
      <c r="C84" s="46" t="s">
        <v>671</v>
      </c>
      <c r="D84" s="53" t="s">
        <v>672</v>
      </c>
      <c r="E84" s="46" t="s">
        <v>661</v>
      </c>
    </row>
    <row r="85" spans="1:5" ht="15.75" customHeight="1" x14ac:dyDescent="0.2">
      <c r="A85" s="46"/>
      <c r="B85" s="46"/>
      <c r="C85" s="46" t="s">
        <v>673</v>
      </c>
      <c r="D85" s="53" t="s">
        <v>674</v>
      </c>
      <c r="E85" s="46" t="s">
        <v>661</v>
      </c>
    </row>
    <row r="86" spans="1:5" ht="15.75" customHeight="1" x14ac:dyDescent="0.2">
      <c r="A86" s="46"/>
      <c r="B86" s="46"/>
      <c r="C86" s="46" t="s">
        <v>675</v>
      </c>
      <c r="D86" s="53" t="s">
        <v>676</v>
      </c>
      <c r="E86" s="46"/>
    </row>
    <row r="87" spans="1:5" ht="15.75" customHeight="1" x14ac:dyDescent="0.2">
      <c r="A87" s="46"/>
      <c r="B87" s="46"/>
      <c r="C87" s="46" t="s">
        <v>677</v>
      </c>
      <c r="D87" s="53" t="s">
        <v>678</v>
      </c>
      <c r="E87" s="46" t="s">
        <v>679</v>
      </c>
    </row>
    <row r="88" spans="1:5" ht="15.75" customHeight="1" x14ac:dyDescent="0.2">
      <c r="A88" s="46"/>
      <c r="B88" s="46"/>
      <c r="C88" s="46" t="s">
        <v>680</v>
      </c>
      <c r="D88" s="53">
        <v>6.07</v>
      </c>
      <c r="E88" s="46" t="s">
        <v>681</v>
      </c>
    </row>
    <row r="89" spans="1:5" ht="15.75" customHeight="1" x14ac:dyDescent="0.2">
      <c r="A89" s="46"/>
      <c r="B89" s="46"/>
      <c r="C89" s="46" t="s">
        <v>682</v>
      </c>
      <c r="D89" s="53">
        <v>1.66</v>
      </c>
      <c r="E89" s="46"/>
    </row>
    <row r="90" spans="1:5" ht="15.75" customHeight="1" x14ac:dyDescent="0.2">
      <c r="A90" s="46"/>
      <c r="B90" s="46"/>
      <c r="C90" s="46" t="s">
        <v>683</v>
      </c>
      <c r="D90" s="53">
        <v>5.6</v>
      </c>
      <c r="E90" s="46" t="s">
        <v>684</v>
      </c>
    </row>
    <row r="91" spans="1:5" ht="15.75" customHeight="1" x14ac:dyDescent="0.2">
      <c r="A91" s="46"/>
      <c r="B91" s="46"/>
      <c r="C91" s="46" t="s">
        <v>685</v>
      </c>
      <c r="D91" s="53">
        <v>9.31</v>
      </c>
      <c r="E91" s="46" t="s">
        <v>686</v>
      </c>
    </row>
    <row r="92" spans="1:5" ht="15.75" customHeight="1" x14ac:dyDescent="0.2">
      <c r="A92" s="46"/>
      <c r="B92" s="46"/>
      <c r="C92" s="46" t="s">
        <v>687</v>
      </c>
      <c r="D92" s="54">
        <v>23687.4</v>
      </c>
      <c r="E92" s="54" t="s">
        <v>688</v>
      </c>
    </row>
    <row r="93" spans="1:5" ht="15.75" customHeight="1" x14ac:dyDescent="0.2">
      <c r="A93" s="46"/>
      <c r="B93" s="46"/>
      <c r="C93" s="46" t="s">
        <v>689</v>
      </c>
      <c r="D93" s="54" t="s">
        <v>690</v>
      </c>
      <c r="E93" s="54" t="s">
        <v>691</v>
      </c>
    </row>
    <row r="94" spans="1:5" ht="15.75" customHeight="1" x14ac:dyDescent="0.2">
      <c r="A94" s="46"/>
      <c r="B94" s="46"/>
      <c r="C94" s="46"/>
      <c r="D94" s="57"/>
      <c r="E94" s="57"/>
    </row>
    <row r="95" spans="1:5" ht="15.75" customHeight="1" x14ac:dyDescent="0.2">
      <c r="A95" s="51"/>
      <c r="B95" s="50" t="s">
        <v>692</v>
      </c>
      <c r="C95" s="46"/>
      <c r="D95" s="46"/>
      <c r="E95" s="46"/>
    </row>
    <row r="96" spans="1:5" ht="15.75" customHeight="1" x14ac:dyDescent="0.2">
      <c r="A96" s="46"/>
      <c r="B96" s="46"/>
      <c r="C96" s="46" t="s">
        <v>693</v>
      </c>
      <c r="D96" s="53">
        <v>6.4</v>
      </c>
      <c r="E96" s="46" t="s">
        <v>694</v>
      </c>
    </row>
    <row r="97" spans="1:5" ht="15.75" customHeight="1" x14ac:dyDescent="0.2">
      <c r="A97" s="46"/>
      <c r="B97" s="46"/>
      <c r="C97" s="46" t="s">
        <v>695</v>
      </c>
      <c r="D97" s="53">
        <v>3.85</v>
      </c>
      <c r="E97" s="46" t="s">
        <v>696</v>
      </c>
    </row>
    <row r="98" spans="1:5" ht="15.75" customHeight="1" x14ac:dyDescent="0.2">
      <c r="A98" s="46"/>
      <c r="B98" s="46"/>
      <c r="C98" s="46" t="s">
        <v>697</v>
      </c>
      <c r="D98" s="53" t="s">
        <v>698</v>
      </c>
      <c r="E98" s="46" t="s">
        <v>699</v>
      </c>
    </row>
    <row r="99" spans="1:5" ht="15.75" customHeight="1" x14ac:dyDescent="0.2">
      <c r="A99" s="46"/>
      <c r="B99" s="46"/>
      <c r="C99" s="46" t="s">
        <v>700</v>
      </c>
      <c r="D99" s="53" t="s">
        <v>701</v>
      </c>
      <c r="E99" s="46" t="s">
        <v>699</v>
      </c>
    </row>
    <row r="100" spans="1:5" ht="15.75" customHeight="1" x14ac:dyDescent="0.2">
      <c r="A100" s="46"/>
      <c r="B100" s="46"/>
      <c r="C100" s="46" t="s">
        <v>702</v>
      </c>
      <c r="D100" s="53">
        <v>2.7</v>
      </c>
      <c r="E100" s="46" t="s">
        <v>703</v>
      </c>
    </row>
    <row r="101" spans="1:5" ht="15.75" customHeight="1" x14ac:dyDescent="0.2">
      <c r="A101" s="46"/>
      <c r="B101" s="48"/>
      <c r="C101" s="48"/>
      <c r="D101" s="48"/>
      <c r="E101" s="48"/>
    </row>
    <row r="102" spans="1:5" ht="15.75" customHeight="1" x14ac:dyDescent="0.2">
      <c r="A102" s="51"/>
      <c r="B102" s="50" t="s">
        <v>704</v>
      </c>
      <c r="C102" s="46"/>
      <c r="D102" s="46"/>
      <c r="E102" s="46"/>
    </row>
    <row r="103" spans="1:5" ht="15.75" customHeight="1" x14ac:dyDescent="0.2">
      <c r="A103" s="51"/>
      <c r="B103" s="50"/>
      <c r="C103" s="46" t="s">
        <v>705</v>
      </c>
      <c r="D103" s="53" t="s">
        <v>706</v>
      </c>
      <c r="E103" s="46" t="s">
        <v>637</v>
      </c>
    </row>
    <row r="104" spans="1:5" ht="15.75" customHeight="1" x14ac:dyDescent="0.2">
      <c r="A104" s="51"/>
      <c r="B104" s="50"/>
      <c r="C104" s="46" t="s">
        <v>707</v>
      </c>
      <c r="D104" s="53" t="s">
        <v>708</v>
      </c>
      <c r="E104" s="46" t="s">
        <v>640</v>
      </c>
    </row>
    <row r="105" spans="1:5" ht="15.75" customHeight="1" x14ac:dyDescent="0.2">
      <c r="A105" s="46"/>
      <c r="B105" s="46"/>
      <c r="C105" s="46" t="s">
        <v>709</v>
      </c>
      <c r="D105" s="53" t="s">
        <v>710</v>
      </c>
      <c r="E105" s="46"/>
    </row>
    <row r="106" spans="1:5" ht="15.75" customHeight="1" x14ac:dyDescent="0.2">
      <c r="A106" s="46"/>
      <c r="B106" s="46"/>
      <c r="C106" s="46" t="s">
        <v>711</v>
      </c>
      <c r="D106" s="53" t="s">
        <v>712</v>
      </c>
      <c r="E106" s="46" t="s">
        <v>640</v>
      </c>
    </row>
    <row r="107" spans="1:5" ht="15.75" customHeight="1" x14ac:dyDescent="0.2">
      <c r="A107" s="46"/>
      <c r="B107" s="46"/>
      <c r="C107" s="46" t="s">
        <v>713</v>
      </c>
      <c r="D107" s="53">
        <v>0.78</v>
      </c>
      <c r="E107" s="46" t="s">
        <v>714</v>
      </c>
    </row>
    <row r="108" spans="1:5" ht="15.75" customHeight="1" x14ac:dyDescent="0.2">
      <c r="A108" s="46"/>
      <c r="B108" s="46"/>
      <c r="C108" s="46" t="s">
        <v>715</v>
      </c>
      <c r="D108" s="53">
        <v>0.8</v>
      </c>
      <c r="E108" s="46" t="s">
        <v>640</v>
      </c>
    </row>
    <row r="109" spans="1:5" ht="15.75" customHeight="1" x14ac:dyDescent="0.2">
      <c r="A109" s="46"/>
      <c r="B109" s="46"/>
      <c r="C109" s="46" t="e">
        <f t="array" ref="C109">anz. bestellungen</f>
        <v>#NAME?</v>
      </c>
      <c r="D109" s="53" t="s">
        <v>716</v>
      </c>
      <c r="E109" s="46" t="s">
        <v>637</v>
      </c>
    </row>
    <row r="110" spans="1:5" ht="15.75" customHeight="1" x14ac:dyDescent="0.2">
      <c r="A110" s="46"/>
      <c r="B110" s="46"/>
      <c r="C110" s="46" t="s">
        <v>717</v>
      </c>
      <c r="D110" s="53" t="s">
        <v>718</v>
      </c>
      <c r="E110" s="46" t="s">
        <v>640</v>
      </c>
    </row>
    <row r="111" spans="1:5" ht="16.5" customHeight="1" x14ac:dyDescent="0.2">
      <c r="A111" s="46"/>
      <c r="B111" s="46"/>
      <c r="C111" s="46" t="s">
        <v>719</v>
      </c>
      <c r="D111" s="58">
        <v>8.5000000000000006E-3</v>
      </c>
      <c r="E111" s="59" t="s">
        <v>720</v>
      </c>
    </row>
    <row r="112" spans="1:5" ht="15.75" customHeight="1" x14ac:dyDescent="0.2">
      <c r="A112" s="46"/>
      <c r="B112" s="46"/>
      <c r="C112" s="46"/>
      <c r="D112" s="60"/>
      <c r="E112" s="59"/>
    </row>
    <row r="113" spans="1:5" ht="15.75" customHeight="1" x14ac:dyDescent="0.2">
      <c r="A113" s="51"/>
      <c r="B113" s="50" t="s">
        <v>721</v>
      </c>
      <c r="C113" s="46" t="s">
        <v>722</v>
      </c>
      <c r="D113" s="54" t="s">
        <v>723</v>
      </c>
      <c r="E113" s="46" t="s">
        <v>724</v>
      </c>
    </row>
    <row r="114" spans="1:5" ht="15.75" customHeight="1" x14ac:dyDescent="0.2">
      <c r="A114" s="46"/>
      <c r="B114" s="46"/>
      <c r="C114" s="46" t="s">
        <v>725</v>
      </c>
      <c r="D114" s="54" t="s">
        <v>726</v>
      </c>
      <c r="E114" s="46" t="s">
        <v>727</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08F8492D6655042B6DB2E3C7CA49207" ma:contentTypeVersion="15" ma:contentTypeDescription="Create a new document." ma:contentTypeScope="" ma:versionID="2f48fde0e2709fcc68a7f89ec6196940">
  <xsd:schema xmlns:xsd="http://www.w3.org/2001/XMLSchema" xmlns:xs="http://www.w3.org/2001/XMLSchema" xmlns:p="http://schemas.microsoft.com/office/2006/metadata/properties" xmlns:ns2="4acf5e47-c03a-4b21-b797-723efdffb438" xmlns:ns3="89e10258-9838-4b3e-bcc8-52958fc90cdd" targetNamespace="http://schemas.microsoft.com/office/2006/metadata/properties" ma:root="true" ma:fieldsID="9a45554737fb7e021a2d85185f1d8b94" ns2:_="" ns3:_="">
    <xsd:import namespace="4acf5e47-c03a-4b21-b797-723efdffb438"/>
    <xsd:import namespace="89e10258-9838-4b3e-bcc8-52958fc90cd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cf5e47-c03a-4b21-b797-723efdffb4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c4771ca-a056-4d93-94f8-adb43de8864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e10258-9838-4b3e-bcc8-52958fc90cd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0500a5d-094a-4841-b3f0-9b33b7ffd920}" ma:internalName="TaxCatchAll" ma:showField="CatchAllData" ma:web="89e10258-9838-4b3e-bcc8-52958fc90cd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cf5e47-c03a-4b21-b797-723efdffb438">
      <Terms xmlns="http://schemas.microsoft.com/office/infopath/2007/PartnerControls"/>
    </lcf76f155ced4ddcb4097134ff3c332f>
    <TaxCatchAll xmlns="89e10258-9838-4b3e-bcc8-52958fc90cdd" xsi:nil="true"/>
  </documentManagement>
</p:properties>
</file>

<file path=customXml/itemProps1.xml><?xml version="1.0" encoding="utf-8"?>
<ds:datastoreItem xmlns:ds="http://schemas.openxmlformats.org/officeDocument/2006/customXml" ds:itemID="{C9CF53C1-9390-4E6E-8B93-25FF4FA9BC01}">
  <ds:schemaRefs>
    <ds:schemaRef ds:uri="http://schemas.microsoft.com/sharepoint/v3/contenttype/forms"/>
  </ds:schemaRefs>
</ds:datastoreItem>
</file>

<file path=customXml/itemProps2.xml><?xml version="1.0" encoding="utf-8"?>
<ds:datastoreItem xmlns:ds="http://schemas.openxmlformats.org/officeDocument/2006/customXml" ds:itemID="{85CD6CB1-AE4B-40FB-A745-55E6850B59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cf5e47-c03a-4b21-b797-723efdffb438"/>
    <ds:schemaRef ds:uri="89e10258-9838-4b3e-bcc8-52958fc90c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AF28E2-D4B2-435B-A61D-CF2162C2764D}">
  <ds:schemaRefs>
    <ds:schemaRef ds:uri="http://schemas.microsoft.com/office/infopath/2007/PartnerControls"/>
    <ds:schemaRef ds:uri="4acf5e47-c03a-4b21-b797-723efdffb438"/>
    <ds:schemaRef ds:uri="http://purl.org/dc/dcmitype/"/>
    <ds:schemaRef ds:uri="http://schemas.microsoft.com/office/2006/metadata/properties"/>
    <ds:schemaRef ds:uri="http://schemas.microsoft.com/office/2006/documentManagement/types"/>
    <ds:schemaRef ds:uri="89e10258-9838-4b3e-bcc8-52958fc90cdd"/>
    <ds:schemaRef ds:uri="http://purl.org/dc/elements/1.1/"/>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00_README</vt:lpstr>
      <vt:lpstr>01_EXEC_SUMMARY</vt:lpstr>
      <vt:lpstr>02_INPUTS</vt:lpstr>
      <vt:lpstr>03_SZENARIOS</vt:lpstr>
      <vt:lpstr>04_PoC_MVP_Phasen</vt:lpstr>
      <vt:lpstr>05_KOSTEN_MODELL</vt:lpstr>
      <vt:lpstr>06_NUTZEN_MODELL</vt:lpstr>
      <vt:lpstr>07_VALUE_CASE</vt:lpstr>
      <vt:lpstr>08_QUELLEN</vt:lpstr>
      <vt:lpstr>09_INPUT_PARAMETER_BC_SAV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Hess, Roman</cp:lastModifiedBy>
  <cp:revision>15</cp:revision>
  <dcterms:created xsi:type="dcterms:W3CDTF">2026-03-30T16:01:01Z</dcterms:created>
  <dcterms:modified xsi:type="dcterms:W3CDTF">2026-04-22T11:38:09Z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0x010100308F8492D6655042B6DB2E3C7CA49207</vt:lpwstr>
  </property>
  <property fmtid="{D5CDD505-2E9C-101B-9397-08002B2CF9AE}" pid="3" name="MediaServiceImageTags">
    <vt:lpwstr/>
  </property>
</Properties>
</file>